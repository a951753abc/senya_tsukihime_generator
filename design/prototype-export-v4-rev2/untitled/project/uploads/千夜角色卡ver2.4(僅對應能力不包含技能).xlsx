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角色卡" sheetId="1" r:id="rId4"/>
    <sheet state="visible" name="感情" sheetId="2" r:id="rId5"/>
    <sheet state="visible" name="不完美的伊邪那歧" sheetId="3" r:id="rId6"/>
    <sheet state="visible" name="風格" sheetId="4" r:id="rId7"/>
    <sheet state="visible" name="狩人" sheetId="5" r:id="rId8"/>
    <sheet state="visible" name="劍士" sheetId="6" r:id="rId9"/>
    <sheet state="visible" name="狩獵者" sheetId="7" r:id="rId10"/>
    <sheet state="visible" name="代行者" sheetId="8" r:id="rId11"/>
    <sheet state="visible" name="超能力者" sheetId="9" r:id="rId12"/>
    <sheet state="visible" name="武鬥家" sheetId="10" r:id="rId13"/>
    <sheet state="hidden" name="古神道" sheetId="11" r:id="rId14"/>
    <sheet state="visible" name="魔術師" sheetId="12" r:id="rId15"/>
    <sheet state="visible" name="異端" sheetId="13" r:id="rId16"/>
    <sheet state="visible" name="左道" sheetId="14" r:id="rId17"/>
    <sheet state="visible" name="策士" sheetId="15" r:id="rId18"/>
    <sheet state="hidden" name="忍者" sheetId="16" r:id="rId19"/>
    <sheet state="visible" name="無名劍" sheetId="17" r:id="rId20"/>
    <sheet state="visible" name="風水士" sheetId="18" r:id="rId21"/>
    <sheet state="visible" name="級別一覽" sheetId="19" r:id="rId22"/>
  </sheets>
  <definedNames>
    <definedName name="古神道">'古神道'!$A$24:$A$43</definedName>
    <definedName name="武鬥家">'武鬥家'!$A$24:$A$59</definedName>
    <definedName name="風水士">'風水士'!$A$24:$A$51</definedName>
    <definedName name="異端">'異端'!$A$24:$A$48</definedName>
    <definedName name="劍士">'劍士'!$A$24:$A$61</definedName>
    <definedName name="忍者">'忍者'!$A$24:$A$41</definedName>
    <definedName name="風格">'風格'!$A$1:$A$34</definedName>
    <definedName name="魔術師">'魔術師'!$A$24:$A$73</definedName>
    <definedName name="狩人">'狩人'!$A$24:$A$72</definedName>
    <definedName name="感情">'感情'!$A$1:$A$49</definedName>
    <definedName name="策士">'策士'!$A$24:$A$48</definedName>
    <definedName name="無名劍">'無名劍'!$A$24:$A$46</definedName>
    <definedName name="左道">'左道'!$A$24:$A$53</definedName>
    <definedName name="代行者">'代行者'!$A$24:$A$61</definedName>
    <definedName name="超能力者">'超能力者'!$A$26:$A$55</definedName>
    <definedName name="狩獵者">'狩獵者'!$A$24:$A$68</definedName>
    <definedName name="NamedRange1">'角色卡'!$B$10:$D$10</definedName>
    <definedName hidden="1" localSheetId="5" name="Z_2307E61E_A9B5_4868_9A8D_A6A9AD29BA4D_.wvu.FilterData">'劍士'!$A$1:$D$4</definedName>
  </definedNames>
  <calcPr/>
  <customWorkbookViews>
    <customWorkbookView activeSheetId="0" maximized="1" windowHeight="0" windowWidth="0" guid="{2307E61E-A9B5-4868-9A8D-A6A9AD29BA4D}" name="篩選器 1"/>
  </customWorkbookViews>
</workbook>
</file>

<file path=xl/sharedStrings.xml><?xml version="1.0" encoding="utf-8"?>
<sst xmlns="http://schemas.openxmlformats.org/spreadsheetml/2006/main" count="3164" uniqueCount="1652">
  <si>
    <t>個人資料</t>
  </si>
  <si>
    <t>姓名</t>
  </si>
  <si>
    <t>戰鬥數值</t>
  </si>
  <si>
    <t>玩家名稱</t>
  </si>
  <si>
    <t>【能力名】</t>
  </si>
  <si>
    <t>基礎</t>
  </si>
  <si>
    <t>級別1修正</t>
  </si>
  <si>
    <t>級別2修正</t>
  </si>
  <si>
    <t>級別3修正</t>
  </si>
  <si>
    <t>特殊</t>
  </si>
  <si>
    <t>合計</t>
  </si>
  <si>
    <t>種族</t>
  </si>
  <si>
    <t>地域社會</t>
  </si>
  <si>
    <t>【近戰】</t>
  </si>
  <si>
    <t>年齢</t>
  </si>
  <si>
    <t>性別</t>
  </si>
  <si>
    <t>外貌(髪/瞳/肌/身)</t>
  </si>
  <si>
    <t>【射撃】</t>
  </si>
  <si>
    <t>初始級別</t>
  </si>
  <si>
    <t>初始等級</t>
  </si>
  <si>
    <t>級別</t>
  </si>
  <si>
    <t>級別等級</t>
  </si>
  <si>
    <t>【精神】</t>
  </si>
  <si>
    <t>級別1</t>
  </si>
  <si>
    <t>狩人</t>
  </si>
  <si>
    <t>角色等級</t>
  </si>
  <si>
    <t>剩餘經驗點</t>
  </si>
  <si>
    <t>【行動】</t>
  </si>
  <si>
    <t>級別2</t>
  </si>
  <si>
    <t>基本能力値</t>
  </si>
  <si>
    <t>(初始紅利1)</t>
  </si>
  <si>
    <t>【生命力】</t>
  </si>
  <si>
    <t>級別3</t>
  </si>
  <si>
    <t>體力</t>
  </si>
  <si>
    <t>【體力】</t>
  </si>
  <si>
    <t>【集中力】</t>
  </si>
  <si>
    <t>風格</t>
  </si>
  <si>
    <t>分類</t>
  </si>
  <si>
    <t>知覺</t>
  </si>
  <si>
    <t>【知覺】</t>
  </si>
  <si>
    <t>【防御點】</t>
  </si>
  <si>
    <t>背反律</t>
  </si>
  <si>
    <t>理智</t>
  </si>
  <si>
    <t>【理智】</t>
  </si>
  <si>
    <t>屬性値</t>
  </si>
  <si>
    <t>火</t>
  </si>
  <si>
    <t>水</t>
  </si>
  <si>
    <t>代償</t>
  </si>
  <si>
    <t>意志</t>
  </si>
  <si>
    <t>【意志】</t>
  </si>
  <si>
    <t>地</t>
  </si>
  <si>
    <t>風</t>
  </si>
  <si>
    <t>空</t>
  </si>
  <si>
    <t>獲得感情</t>
  </si>
  <si>
    <t>效果</t>
  </si>
  <si>
    <t>二段條件</t>
  </si>
  <si>
    <t>追加效果</t>
  </si>
  <si>
    <t>特技</t>
  </si>
  <si>
    <t>技能名稱</t>
  </si>
  <si>
    <t>代價</t>
  </si>
  <si>
    <t>情緒獎勵</t>
  </si>
  <si>
    <t>弓掌握</t>
  </si>
  <si>
    <t>無盡破壞</t>
  </si>
  <si>
    <t>所持
道具</t>
  </si>
  <si>
    <t>1-3</t>
  </si>
  <si>
    <t>4-6</t>
  </si>
  <si>
    <t>7-9</t>
  </si>
  <si>
    <t>角色關係表</t>
  </si>
  <si>
    <t>角色設定</t>
  </si>
  <si>
    <t>角色名</t>
  </si>
  <si>
    <t>感情</t>
  </si>
  <si>
    <t>羈絆値</t>
  </si>
  <si>
    <t>備註</t>
  </si>
  <si>
    <t>羈絆值合計</t>
  </si>
  <si>
    <t>羈絆值</t>
  </si>
  <si>
    <t>色調</t>
  </si>
  <si>
    <r>
      <rPr>
        <rFont val="MingLiU"/>
        <color rgb="FF000000"/>
        <sz val="10.0"/>
      </rPr>
      <t>基本感情</t>
    </r>
    <r>
      <rPr>
        <rFont val="Arial"/>
        <color rgb="FF000000"/>
        <sz val="10.0"/>
      </rPr>
      <t xml:space="preserve"> </t>
    </r>
    <r>
      <rPr>
        <rFont val="細明體"/>
        <color rgb="FF000000"/>
        <sz val="10.0"/>
      </rPr>
      <t>▲</t>
    </r>
    <r>
      <rPr>
        <rFont val="Arial"/>
        <color rgb="FF000000"/>
        <sz val="10.0"/>
      </rPr>
      <t xml:space="preserve"> </t>
    </r>
    <r>
      <rPr>
        <rFont val="細明體"/>
        <color rgb="FF000000"/>
        <sz val="10.0"/>
      </rPr>
      <t>創角時所獲得並使用的感情</t>
    </r>
  </si>
  <si>
    <t>嫉妬</t>
  </si>
  <si>
    <t>瘋狂</t>
  </si>
  <si>
    <t>你強烈的意識到你比對方低等。</t>
  </si>
  <si>
    <t>庇護</t>
  </si>
  <si>
    <t>潔淨</t>
  </si>
  <si>
    <t>你認為保護這個人是你的使命。</t>
  </si>
  <si>
    <t>喜愛</t>
  </si>
  <si>
    <t>不知不覺間你注意到這個人，想看看他的反應。或許你會想欺負他看看吧？</t>
  </si>
  <si>
    <t>無法置之不理</t>
  </si>
  <si>
    <t>在你眼中他像個小孩一樣。</t>
  </si>
  <si>
    <t>孽緣</t>
  </si>
  <si>
    <t>因為長年的認識，你對對方的優點及缺點都十分清楚。</t>
  </si>
  <si>
    <t>知恩圖報</t>
  </si>
  <si>
    <t>因為他以前幫助過你，你充份感覺到他對你的恩義。</t>
  </si>
  <si>
    <t>不安</t>
  </si>
  <si>
    <t>你懷疑對方對你的友情或者愛情。自己該不會被他討厭了吧？</t>
  </si>
  <si>
    <t>反抗精神</t>
  </si>
  <si>
    <t>抱持著競爭心或反抗心。你因為什麼對這個人抱著反抗的感情。</t>
  </si>
  <si>
    <t>信賴</t>
  </si>
  <si>
    <t>你覺得這個人真的十分值得信賴。</t>
  </si>
  <si>
    <t>憧憬</t>
  </si>
  <si>
    <t>這個人是你憧憬的人。你想要成為他那樣的人。</t>
  </si>
  <si>
    <t>合得來</t>
  </si>
  <si>
    <t>不知道為什麼你跟他很合得來。</t>
  </si>
  <si>
    <t>逞強</t>
  </si>
  <si>
    <t>你希望在這人面前表現出毫無缺點。</t>
  </si>
  <si>
    <t>尊敬</t>
  </si>
  <si>
    <t>你對這人的人望或者能力有高評價。</t>
  </si>
  <si>
    <t>親近感</t>
  </si>
  <si>
    <t>你認為這人的感覺跟自己很像，也保持著同樣的煩惱。</t>
  </si>
  <si>
    <t>仰慕</t>
  </si>
  <si>
    <t>這人是猶如你哥哥姐姐或者父母。總是接受自己真實的一面。</t>
  </si>
  <si>
    <t>獨占欲</t>
  </si>
  <si>
    <t>希望這人只看著自己。希望他不要被別人依靠。</t>
  </si>
  <si>
    <t>被耍著玩</t>
  </si>
  <si>
    <t>你老是被對方的步調影響。就像跟在他屁股後面跑一樣。</t>
  </si>
  <si>
    <t>單戀</t>
  </si>
  <si>
    <t>你愛上了這個人，但是對方不知道。</t>
  </si>
  <si>
    <t>隔意</t>
  </si>
  <si>
    <t>與這人之間有一層牆壁隔住的感覺。和自己不一樣、本能的抱持著「絕對無法和平相處」的想法確信著。</t>
  </si>
  <si>
    <t>興趣</t>
  </si>
  <si>
    <r>
      <rPr>
        <rFont val="細明體"/>
        <color rgb="FF000000"/>
        <sz val="10.0"/>
      </rPr>
      <t>你對這人十分有興趣。想知道他喜歡什麼？</t>
    </r>
    <r>
      <rPr>
        <rFont val="細明體"/>
        <color rgb="FF000000"/>
        <sz val="10.0"/>
      </rPr>
      <t>為什麼笑？</t>
    </r>
  </si>
  <si>
    <t>追憶故人</t>
  </si>
  <si>
    <t>你看到這個人會想起某個過去很重要的人。你會興起讓他成為「替代品」的想法。</t>
  </si>
  <si>
    <r>
      <rPr>
        <rFont val="MingLiU"/>
        <color rgb="FF000000"/>
        <sz val="10.0"/>
      </rPr>
      <t>追加感情</t>
    </r>
    <r>
      <rPr>
        <rFont val="Arial"/>
        <color rgb="FF000000"/>
        <sz val="10.0"/>
      </rPr>
      <t xml:space="preserve"> </t>
    </r>
    <r>
      <rPr>
        <rFont val="細明體"/>
        <color rgb="FF000000"/>
        <sz val="10.0"/>
      </rPr>
      <t>▲</t>
    </r>
    <r>
      <rPr>
        <rFont val="Arial"/>
        <color rgb="FF000000"/>
        <sz val="10.0"/>
      </rPr>
      <t xml:space="preserve"> </t>
    </r>
    <r>
      <rPr>
        <rFont val="細明體"/>
        <color rgb="FF000000"/>
        <sz val="10.0"/>
      </rPr>
      <t>情感對決及背反律所獲得並使用的感情</t>
    </r>
  </si>
  <si>
    <t>重要的朋友</t>
  </si>
  <si>
    <t>因為過去發生了很多事情，造就你現在與對方如此親密的距離。</t>
  </si>
  <si>
    <t>發誓</t>
  </si>
  <si>
    <r>
      <rPr>
        <rFont val="MingLiU"/>
        <color rgb="FF000000"/>
        <sz val="10.0"/>
      </rPr>
      <t>你向那個人發誓，會保護他不會再出現跟他一樣的犧牲者</t>
    </r>
    <r>
      <rPr>
        <rFont val="Arial"/>
        <color rgb="FF000000"/>
        <sz val="10.0"/>
      </rPr>
      <t>……</t>
    </r>
    <r>
      <rPr>
        <rFont val="細明體"/>
        <color rgb="FF000000"/>
        <sz val="10.0"/>
      </rPr>
      <t>等。</t>
    </r>
  </si>
  <si>
    <t>相思相愛</t>
  </si>
  <si>
    <t>你跟對方是相思相愛的關係。</t>
  </si>
  <si>
    <t>無法傳達的溫暖</t>
  </si>
  <si>
    <t>這份思念你確定無法傳達給那個人。你的心感到十分難過，因為你確定那個人已經「失去了」。</t>
  </si>
  <si>
    <t>著急</t>
  </si>
  <si>
    <t>你什麼也不知道。為什麼沒注意到呢？你感到心急如焚。</t>
  </si>
  <si>
    <t>敗北感</t>
  </si>
  <si>
    <t>又失敗了。這次也失敗了。為什麼？自己確實不是無力的，難道世界只有對自己不講理嗎？</t>
  </si>
  <si>
    <t>破碎的信賴</t>
  </si>
  <si>
    <t>你覺得對方的言行已經是「背叛」了你，而陷入震驚狀態。明明是如此相信的！</t>
  </si>
  <si>
    <t>無關心</t>
  </si>
  <si>
    <t>你絲毫不關心這個人。不管他生也好死也好、快樂也罷苦痛也罷，你絲毫不會動心。</t>
  </si>
  <si>
    <t>愧疚</t>
  </si>
  <si>
    <t>你對對方做了不得了的事，抱著重大秘密的你覺得對他十分愧疚。</t>
  </si>
  <si>
    <t>渴愛</t>
  </si>
  <si>
    <r>
      <rPr>
        <rFont val="MingLiU"/>
        <color rgb="FF000000"/>
        <sz val="10.0"/>
      </rPr>
      <t>拜託你愛我，不要丟下我，不要放我一個留在這</t>
    </r>
    <r>
      <rPr>
        <rFont val="Arial"/>
        <color rgb="FF000000"/>
        <sz val="10.0"/>
      </rPr>
      <t>……</t>
    </r>
    <r>
      <rPr>
        <rFont val="細明體"/>
        <color rgb="FF000000"/>
        <sz val="10.0"/>
      </rPr>
      <t>。</t>
    </r>
  </si>
  <si>
    <t>獵物</t>
  </si>
  <si>
    <t>你對這個人抱著強烈得執著。認為他全部是自己的東西。</t>
  </si>
  <si>
    <t>憎惡</t>
  </si>
  <si>
    <t>彷彿要將此身燃燒殆盡的憎悪。你絕對不會原諒對方。</t>
  </si>
  <si>
    <t>優越感</t>
  </si>
  <si>
    <t>你對這人抱持著優越感。在自己面前，他不過如微塵罷了。</t>
  </si>
  <si>
    <t>責任</t>
  </si>
  <si>
    <t>你覺得要對這個負責把他捲進來事情的責任。</t>
  </si>
  <si>
    <t>恐怖</t>
  </si>
  <si>
    <t>你想到這個人，恐怖與不安就會浮現在你心頭。你想著如果他不在該有多好。</t>
  </si>
  <si>
    <t>夢想</t>
  </si>
  <si>
    <t>這人對你來說就如虛幻般的存在，他的快樂也好痛苦也好都是你無法想像的。</t>
  </si>
  <si>
    <t>殲滅</t>
  </si>
  <si>
    <t>你認為那是敵人，消滅他不須有任何的慈悲及絲毫的猶豫。</t>
  </si>
  <si>
    <t>自我矛盾</t>
  </si>
  <si>
    <t>這個感情是對自己自身。你覺得理想的自己跟現實的自己有很大的落差。</t>
  </si>
  <si>
    <t>贖罪</t>
  </si>
  <si>
    <t>你對你過去對此人做的行為，抱持著強烈的罪惡感。為了償還你願意犧牲生命。</t>
  </si>
  <si>
    <t>宿敵</t>
  </si>
  <si>
    <t>你認為此人是競爭對手。全心全力的去挑戰他。</t>
  </si>
  <si>
    <t>盲目</t>
  </si>
  <si>
    <t>你對這個人盲目的相信。這種信賴接近於對宗教的信仰。這個人的話是絕對不可抗拒的，他的命令無論是善惡你都沒有感覺。</t>
  </si>
  <si>
    <t>討厭</t>
  </si>
  <si>
    <t>你對這個人很討厭。非常的討厭。</t>
  </si>
  <si>
    <t>悅樂</t>
  </si>
  <si>
    <t>這人對你來說，只不過是得到快感的道具罷了。</t>
  </si>
  <si>
    <t>吸血衝動</t>
  </si>
  <si>
    <t>你非常想要這個人，這個人的靈魂、生命、全部的一切都想要。說到為什麼你會這麼想要呢？因為這是你最大的愛情表現。</t>
  </si>
  <si>
    <t>技能1</t>
  </si>
  <si>
    <t>技能2</t>
  </si>
  <si>
    <t>技能3</t>
  </si>
  <si>
    <t>技能4</t>
  </si>
  <si>
    <t>技能5</t>
  </si>
  <si>
    <t>技能6</t>
  </si>
  <si>
    <t>技能7</t>
  </si>
  <si>
    <t>技能8</t>
  </si>
  <si>
    <t>技能9</t>
  </si>
  <si>
    <t>技能10</t>
  </si>
  <si>
    <t>技能11</t>
  </si>
  <si>
    <t>技能12</t>
  </si>
  <si>
    <t>技能13</t>
  </si>
  <si>
    <t>技能14</t>
  </si>
  <si>
    <t>技能15</t>
  </si>
  <si>
    <t>技能16</t>
  </si>
  <si>
    <t>技能17</t>
  </si>
  <si>
    <t>技能18</t>
  </si>
  <si>
    <t>技能19</t>
  </si>
  <si>
    <t>技能20</t>
  </si>
  <si>
    <t>技能21</t>
  </si>
  <si>
    <t>技能22</t>
  </si>
  <si>
    <t>技能23</t>
  </si>
  <si>
    <t>技能24</t>
  </si>
  <si>
    <t>技能25</t>
  </si>
  <si>
    <t>技能26</t>
  </si>
  <si>
    <t>技能27</t>
  </si>
  <si>
    <t>技能28</t>
  </si>
  <si>
    <t>一般特技-弓系 ▲</t>
  </si>
  <si>
    <t>相擊箭</t>
  </si>
  <si>
    <t>★曲折箭</t>
  </si>
  <si>
    <t>★多重箭</t>
  </si>
  <si>
    <t>★強弓技巧</t>
  </si>
  <si>
    <t>★速射技巧</t>
  </si>
  <si>
    <t>★拋射技巧</t>
  </si>
  <si>
    <t>製作：破魔箭</t>
  </si>
  <si>
    <t>額外特技-弓系 ▲</t>
  </si>
  <si>
    <t>落星</t>
  </si>
  <si>
    <t>穿月</t>
  </si>
  <si>
    <t>神技</t>
  </si>
  <si>
    <t>一般特技-槍系 ▲</t>
  </si>
  <si>
    <t>隱密通路</t>
  </si>
  <si>
    <t>進階槍種掌握</t>
  </si>
  <si>
    <t>槍械名人</t>
  </si>
  <si>
    <t>彈藥支援</t>
  </si>
  <si>
    <t>戰術配件</t>
  </si>
  <si>
    <t>戰術改造</t>
  </si>
  <si>
    <t>魔術彈</t>
  </si>
  <si>
    <t>概念賦予：槍彈</t>
  </si>
  <si>
    <t>校準</t>
  </si>
  <si>
    <t>狙擊</t>
  </si>
  <si>
    <t>跳彈</t>
  </si>
  <si>
    <t>火力全開</t>
  </si>
  <si>
    <t>雙持</t>
  </si>
  <si>
    <t>科羅拉多槍擊法</t>
  </si>
  <si>
    <t>一般特技-共通 ▲</t>
  </si>
  <si>
    <t>人體理解</t>
  </si>
  <si>
    <t>應急處置</t>
  </si>
  <si>
    <t>醫療物資</t>
  </si>
  <si>
    <t>戰地手術</t>
  </si>
  <si>
    <t>弱點察知</t>
  </si>
  <si>
    <t>彈道計算</t>
  </si>
  <si>
    <t>致死點</t>
  </si>
  <si>
    <t>戰場掌握</t>
  </si>
  <si>
    <t>狩人之眼</t>
  </si>
  <si>
    <t>鷹之眼</t>
  </si>
  <si>
    <t>鶚之眼</t>
  </si>
  <si>
    <t>後跳</t>
  </si>
  <si>
    <t>制壓射擊</t>
  </si>
  <si>
    <t>牽制射擊</t>
  </si>
  <si>
    <t>額外特技-共通 ▲</t>
  </si>
  <si>
    <t>完全空間掌握</t>
  </si>
  <si>
    <t>千里眼</t>
  </si>
  <si>
    <t>長距離射擊</t>
  </si>
  <si>
    <t>描述</t>
  </si>
  <si>
    <t>背反</t>
  </si>
  <si>
    <t>級別限制</t>
  </si>
  <si>
    <r>
      <rPr>
        <rFont val="MingLiU"/>
        <color rgb="FF000000"/>
        <sz val="10.0"/>
      </rPr>
      <t>代表角色</t>
    </r>
    <r>
      <rPr>
        <rFont val="Arial"/>
        <color rgb="FF000000"/>
        <sz val="10.0"/>
      </rPr>
      <t xml:space="preserve"> </t>
    </r>
  </si>
  <si>
    <t>風格覺醒條件</t>
  </si>
  <si>
    <t>起源：進食</t>
  </si>
  <si>
    <t>你的靈魂內刻印著捕食其他生物的本能。</t>
  </si>
  <si>
    <t>「肉食獸的本能」</t>
  </si>
  <si>
    <t xml:space="preserve">通用 </t>
  </si>
  <si>
    <r>
      <rPr>
        <rFont val="MingLiU"/>
        <color rgb="FF000000"/>
        <sz val="10.0"/>
      </rPr>
      <t>恢復20點ＨＰ</t>
    </r>
    <r>
      <rPr>
        <rFont val="Arial"/>
        <color rgb="FF000000"/>
        <sz val="10.0"/>
      </rPr>
      <t xml:space="preserve"> </t>
    </r>
  </si>
  <si>
    <t>無</t>
  </si>
  <si>
    <t xml:space="preserve">獵物 </t>
  </si>
  <si>
    <t>白純里緒</t>
  </si>
  <si>
    <t>你的【近戰】＋６。使用後，你只能使用近戰特技。這個效果持續到戰鬥結束。</t>
  </si>
  <si>
    <r>
      <rPr>
        <rFont val="MingLiU"/>
        <color rgb="FF000000"/>
        <sz val="10.0"/>
      </rPr>
      <t>發動背反律的狀態下，殺死設有獵物的對象</t>
    </r>
    <r>
      <rPr>
        <rFont val="Arial"/>
        <color rgb="FF000000"/>
        <sz val="10.0"/>
      </rPr>
      <t xml:space="preserve"> </t>
    </r>
  </si>
  <si>
    <t>基本能力的體力常時+10(非BONUS值)。 劇本開始時，丟1D6，劇本結束前，你必須設置對應數量的獵物感情給PC或是NPC，且殺死他們。 劇本中途風格覺醒時，將該需設置的人數-1。</t>
  </si>
  <si>
    <t>起源：虛無</t>
  </si>
  <si>
    <t>你什麼都不關心，考試零分跟一百分對你來說沒有意義。</t>
  </si>
  <si>
    <t>「空虛之絆」</t>
  </si>
  <si>
    <t xml:space="preserve">常時 </t>
  </si>
  <si>
    <t>-</t>
  </si>
  <si>
    <t xml:space="preserve">無關心 </t>
  </si>
  <si>
    <t xml:space="preserve">兩儀式 </t>
  </si>
  <si>
    <r>
      <rPr>
        <rFont val="MingLiU"/>
        <color rgb="FF000000"/>
        <sz val="10.0"/>
      </rPr>
      <t>你能加算情緒值的感情只有無關心。</t>
    </r>
    <r>
      <rPr>
        <rFont val="Arial"/>
        <color rgb="FF000000"/>
        <sz val="10.0"/>
      </rPr>
      <t xml:space="preserve"> </t>
    </r>
    <r>
      <rPr>
        <rFont val="細明體"/>
        <color rgb="FF000000"/>
        <sz val="10.0"/>
      </rPr>
      <t>但是這絆值＋１。</t>
    </r>
    <r>
      <rPr>
        <rFont val="Arial"/>
        <color rgb="FF000000"/>
        <sz val="10.0"/>
      </rPr>
      <t xml:space="preserve"> </t>
    </r>
    <r>
      <rPr>
        <rFont val="細明體"/>
        <color rgb="FF000000"/>
        <sz val="10.0"/>
      </rPr>
      <t>你的傷害常時－３，但是與攻擊對象的感情並非是無關心時，全判定＋１，傷害＋１。</t>
    </r>
  </si>
  <si>
    <r>
      <rPr>
        <rFont val="MingLiU"/>
        <color rgb="FF000000"/>
        <sz val="10.0"/>
      </rPr>
      <t>不限單一劇本，進行三次感情對決，轉換無關心</t>
    </r>
    <r>
      <rPr>
        <rFont val="Arial"/>
        <color rgb="FF000000"/>
        <sz val="10.0"/>
      </rPr>
      <t xml:space="preserve"> </t>
    </r>
  </si>
  <si>
    <t>你的背反律效果改為：你的判定與傷害常時+5。你無法對人設置無關心，也無法因為感情對決而設置無關心。</t>
  </si>
  <si>
    <t>起源：禁忌</t>
  </si>
  <si>
    <t>你喜歡妹妹或是哥哥或是姐姐或是弟弟或是你爸你媽。</t>
  </si>
  <si>
    <t>「禁忌之愛」</t>
  </si>
  <si>
    <t xml:space="preserve">獨佔欲 </t>
  </si>
  <si>
    <t xml:space="preserve">黑桐鮮花 </t>
  </si>
  <si>
    <t>你在角色表設定一名血親角色，並且有「獨佔欲」。此絆值１０點，並且無法由感情對決消失。 如果你的血親跟你都處於戰鬥場景，你的全判定＋２。如果血親死亡，你的全判定－１０。</t>
  </si>
  <si>
    <r>
      <rPr>
        <rFont val="MingLiU"/>
        <color rgb="FF000000"/>
        <sz val="10.0"/>
      </rPr>
      <t>對血親角色獨佔欲進行感情對決</t>
    </r>
    <r>
      <rPr>
        <rFont val="Arial"/>
        <color rgb="FF000000"/>
        <sz val="10.0"/>
      </rPr>
      <t xml:space="preserve"> </t>
    </r>
  </si>
  <si>
    <r>
      <rPr>
        <rFont val="細明體"/>
        <color rgb="FF000000"/>
        <sz val="10.0"/>
      </rPr>
      <t>獨佔欲的絆值從</t>
    </r>
    <r>
      <rPr>
        <rFont val="Arial"/>
        <color rgb="FF000000"/>
        <sz val="10.0"/>
      </rPr>
      <t>10</t>
    </r>
    <r>
      <rPr>
        <rFont val="細明體"/>
        <color rgb="FF000000"/>
        <sz val="10.0"/>
      </rPr>
      <t>點上升到</t>
    </r>
    <r>
      <rPr>
        <rFont val="Arial"/>
        <color rgb="FF000000"/>
        <sz val="10.0"/>
      </rPr>
      <t>20</t>
    </r>
    <r>
      <rPr>
        <rFont val="細明體"/>
        <color rgb="FF000000"/>
        <sz val="10.0"/>
      </rPr>
      <t>點，並追加「獵物」，這兩個感情無法由感情對決消失。當你提出的要求被血親拒絕時，丟</t>
    </r>
    <r>
      <rPr>
        <rFont val="Arial"/>
        <color rgb="FF000000"/>
        <sz val="10.0"/>
      </rPr>
      <t>2D6</t>
    </r>
    <r>
      <rPr>
        <rFont val="細明體"/>
        <color rgb="FF000000"/>
        <sz val="10.0"/>
      </rPr>
      <t>，值在</t>
    </r>
    <r>
      <rPr>
        <rFont val="Arial"/>
        <color rgb="FF000000"/>
        <sz val="10.0"/>
      </rPr>
      <t>4</t>
    </r>
    <r>
      <rPr>
        <rFont val="細明體"/>
        <color rgb="FF000000"/>
        <sz val="10.0"/>
      </rPr>
      <t>以下時，你會承受不住壓力而殺死血親。</t>
    </r>
  </si>
  <si>
    <t>起源：靜止</t>
  </si>
  <si>
    <t>你有著停止事物的稀有才能，但是這力量也會影響到你自己的成長</t>
  </si>
  <si>
    <t>「靜止的世界」</t>
  </si>
  <si>
    <t xml:space="preserve">中斷 </t>
  </si>
  <si>
    <r>
      <rPr>
        <rFont val="MingLiU"/>
        <color rgb="FF000000"/>
        <sz val="10.0"/>
      </rPr>
      <t>劇本結束後得到經驗－２</t>
    </r>
    <r>
      <rPr>
        <rFont val="Arial"/>
        <color rgb="FF000000"/>
        <sz val="10.0"/>
      </rPr>
      <t xml:space="preserve"> </t>
    </r>
  </si>
  <si>
    <t xml:space="preserve">荒耶宗連 </t>
  </si>
  <si>
    <t>你在對決判定時使用，對方達成值變成０。</t>
  </si>
  <si>
    <t xml:space="preserve">使用此背反律兩次 </t>
  </si>
  <si>
    <t>除了概念武裝與上限傷害，你受到的實際傷害皆為0。你無法再獲得經驗點。</t>
  </si>
  <si>
    <t>俯瞰風景</t>
  </si>
  <si>
    <t>你盼望著飛翔，但是這願望一旦成真時，你對於現實的認知又會如何呢。</t>
  </si>
  <si>
    <t>「俯瞰風景」</t>
  </si>
  <si>
    <t xml:space="preserve">常時／準備階段 </t>
  </si>
  <si>
    <t xml:space="preserve">仰賴者（黑色） </t>
  </si>
  <si>
    <t xml:space="preserve">秋堂秋緒 </t>
  </si>
  <si>
    <t>你能夠改變自我認知，使自己產生在天空浮游的錯覺。戰鬥中使用【近戰】＋３，【射擊】－３，此效果持續到場景終了。</t>
  </si>
  <si>
    <t>追星者</t>
  </si>
  <si>
    <t>直至今日，你依然在追逐觸動你心弦之夢。</t>
  </si>
  <si>
    <t>「所見即得」</t>
  </si>
  <si>
    <t xml:space="preserve">自我矛盾（黑色，對自己） </t>
  </si>
  <si>
    <t xml:space="preserve">衛宮士郎 </t>
  </si>
  <si>
    <t>你可以取得其他角色使用過的一個特技。此特技在劇本結束前可以使用，但是不能是額外特技。</t>
  </si>
  <si>
    <t>ＮＯＴ</t>
  </si>
  <si>
    <t>你被霸凌，因而有天也有可能霸凌別人。</t>
  </si>
  <si>
    <t>「憎惡的肖像」</t>
  </si>
  <si>
    <r>
      <rPr>
        <rFont val="MingLiU"/>
        <color rgb="FF000000"/>
        <sz val="10.0"/>
      </rPr>
      <t>情緒點歸零</t>
    </r>
    <r>
      <rPr>
        <rFont val="Arial"/>
        <color rgb="FF000000"/>
        <sz val="10.0"/>
      </rPr>
      <t xml:space="preserve"> </t>
    </r>
  </si>
  <si>
    <t xml:space="preserve">憎惡（黑色） </t>
  </si>
  <si>
    <t xml:space="preserve">間桐櫻 </t>
  </si>
  <si>
    <t>你行動不能時使用，你的生命，上限傷害，不良狀態全部回復。你在戰鬥結束前變成背反者，並且ＮＰＣ化。你對戰鬥場景內所有的角色登記負面感情（正面會進行感情對決變成負面）。</t>
  </si>
  <si>
    <t>被創造者</t>
  </si>
  <si>
    <t>你的生命只是被賦予的機能──你不會為你為何而生，為何而死感到疑惑。</t>
  </si>
  <si>
    <t>「生命的意義」</t>
  </si>
  <si>
    <r>
      <rPr>
        <rFont val="MingLiU"/>
        <color rgb="FF000000"/>
        <sz val="10.0"/>
      </rPr>
      <t>情緒點歸零</t>
    </r>
    <r>
      <rPr>
        <rFont val="Arial"/>
        <color rgb="FF000000"/>
        <sz val="10.0"/>
      </rPr>
      <t xml:space="preserve"> </t>
    </r>
  </si>
  <si>
    <t xml:space="preserve">伊莉亞 </t>
  </si>
  <si>
    <t>你可以無視代價發動一次無盡破壞，使用後你成為行動不能狀態。</t>
  </si>
  <si>
    <t>潔癖症</t>
  </si>
  <si>
    <t>對你而言，與他人接觸，尤其是異性讓你極度不愉快。這是因為性格，或是什麼事件的創傷呢？</t>
  </si>
  <si>
    <t>「異性不信」</t>
  </si>
  <si>
    <t xml:space="preserve">翡翠 </t>
  </si>
  <si>
    <r>
      <rPr>
        <rFont val="MingLiU"/>
        <color rgb="FF000000"/>
        <sz val="10.0"/>
      </rPr>
      <t>你對所有遇到的異性登記「隔意」，造成傷害時額外增加</t>
    </r>
    <r>
      <rPr>
        <rFont val="Arial"/>
        <color rgb="FF000000"/>
        <sz val="10.0"/>
      </rPr>
      <t>4</t>
    </r>
    <r>
      <rPr>
        <rFont val="細明體"/>
        <color rgb="FF000000"/>
        <sz val="10.0"/>
      </rPr>
      <t>點</t>
    </r>
    <r>
      <rPr>
        <rFont val="Arial"/>
        <color rgb="FF000000"/>
        <sz val="10.0"/>
      </rPr>
      <t>(</t>
    </r>
    <r>
      <rPr>
        <rFont val="細明體"/>
        <color rgb="FF000000"/>
        <sz val="10.0"/>
      </rPr>
      <t>獨立處理</t>
    </r>
    <r>
      <rPr>
        <rFont val="Arial"/>
        <color rgb="FF000000"/>
        <sz val="10.0"/>
      </rPr>
      <t>)</t>
    </r>
    <r>
      <rPr>
        <rFont val="細明體"/>
        <color rgb="FF000000"/>
        <sz val="10.0"/>
      </rPr>
      <t>。</t>
    </r>
  </si>
  <si>
    <t>盲信者</t>
  </si>
  <si>
    <t>你對某件事，或是人有著無庸置疑的忠誠心。無論對錯，你絕不會因此動搖。</t>
  </si>
  <si>
    <t>「愚忠」</t>
  </si>
  <si>
    <t xml:space="preserve">準備階段 </t>
  </si>
  <si>
    <t xml:space="preserve">盲信(黑色) </t>
  </si>
  <si>
    <t xml:space="preserve">第四次LANCER </t>
  </si>
  <si>
    <t>你的ＨＰ恢復４０點。</t>
  </si>
  <si>
    <t>天才</t>
  </si>
  <si>
    <t>你認為自己是天才，別人不過是你的踏腳石。</t>
  </si>
  <si>
    <t>「強者的驕傲」</t>
  </si>
  <si>
    <t xml:space="preserve">優越感(黑色) </t>
  </si>
  <si>
    <t xml:space="preserve">阿嚕巴 </t>
  </si>
  <si>
    <t>你對決判定時使用，你得到會心。這效果發動後，你會對對決側的其他角色設定優越感。</t>
  </si>
  <si>
    <t>罪惡感</t>
  </si>
  <si>
    <t>你對於你過去的行為，抱持著很大的罪惡感。你為了抹去這份不安，投入一次比一次嚴苛的戰場。</t>
  </si>
  <si>
    <t>「贖罪之聲」</t>
  </si>
  <si>
    <t xml:space="preserve">贖罪 </t>
  </si>
  <si>
    <t xml:space="preserve">第五次SABER </t>
  </si>
  <si>
    <t>你的情緒值上升４０點。於戰鬥結束，或是場景結束時情緒值歸零。</t>
  </si>
  <si>
    <t>修羅</t>
  </si>
  <si>
    <t>你為戰而生。強者相見，便是一戰。</t>
  </si>
  <si>
    <t>「與我一戰！」</t>
  </si>
  <si>
    <t xml:space="preserve">劍士or武鬥家 </t>
  </si>
  <si>
    <t xml:space="preserve">敵手（黑色） </t>
  </si>
  <si>
    <t xml:space="preserve">小次郎 </t>
  </si>
  <si>
    <t>你與「敵手」一戰時，命中與傷害達成值＋１Ｄ６。</t>
  </si>
  <si>
    <t>孤獨之頂</t>
  </si>
  <si>
    <t>那麼，開始走吧。至今，你仍然一人位於無人觸及的高度。</t>
  </si>
  <si>
    <t>「光所射向的彼方」</t>
  </si>
  <si>
    <t xml:space="preserve">渴愛 </t>
  </si>
  <si>
    <t xml:space="preserve">結城優樹 </t>
  </si>
  <si>
    <t>對行動完成的角色一人使用，對象獲得１０點行動點，你變成行動完成狀態。</t>
  </si>
  <si>
    <t>最古的血脈</t>
  </si>
  <si>
    <t>你是古神道的繼承者。將背負著這片土地上最沉重的負擔──無論如何，請用自己的意志與信念走到最後一刻吧！</t>
  </si>
  <si>
    <t>「陰陽刻印」</t>
  </si>
  <si>
    <t xml:space="preserve">古神道 </t>
  </si>
  <si>
    <t xml:space="preserve">責任 </t>
  </si>
  <si>
    <t xml:space="preserve">久保珠玖 </t>
  </si>
  <si>
    <r>
      <rPr>
        <rFont val="MingLiU"/>
        <color rgb="FF000000"/>
        <sz val="10.0"/>
      </rPr>
      <t>你的陰陽道等級＋１。</t>
    </r>
    <r>
      <rPr>
        <rFont val="細明體"/>
        <color rgb="FF000000"/>
        <sz val="10.0"/>
      </rPr>
      <t>你須對自己設定責任。</t>
    </r>
  </si>
  <si>
    <t>魔術家系</t>
  </si>
  <si>
    <t>你是魔術師的繼承者。從出生落地那刻便註定好人生的道路。</t>
  </si>
  <si>
    <t>「魔術刻印」</t>
  </si>
  <si>
    <t xml:space="preserve">魔術師 </t>
  </si>
  <si>
    <t xml:space="preserve">遠版凜 </t>
  </si>
  <si>
    <r>
      <rPr>
        <rFont val="MingLiU"/>
        <color rgb="FF000000"/>
        <sz val="10.0"/>
      </rPr>
      <t>你獲得特技「魔術刻印」。</t>
    </r>
    <r>
      <rPr>
        <rFont val="細明體"/>
        <color rgb="FF000000"/>
        <sz val="10.0"/>
      </rPr>
      <t>你須對自己設定責任。</t>
    </r>
  </si>
  <si>
    <t>雙面之鏡</t>
  </si>
  <si>
    <r>
      <rPr>
        <rFont val="MingLiU"/>
        <color rgb="FF000000"/>
        <sz val="10.0"/>
      </rPr>
      <t>你天生就持有將某件事深刻的印在腦海、以身體來記憶下來的能力，即使已經沒有記憶，身體扔然能找回對那件事的印象。</t>
    </r>
    <r>
      <rPr>
        <rFont val="Arial"/>
        <color rgb="FF000000"/>
        <sz val="10.0"/>
      </rPr>
      <t xml:space="preserve"> </t>
    </r>
    <r>
      <rPr>
        <rFont val="細明體"/>
        <color rgb="FF000000"/>
        <sz val="10.0"/>
      </rPr>
      <t>像是一面照過一次對象的鏡子，重複的顯現出對象當時的風采，也許這種能力和照相機有異取同工之妙吧？</t>
    </r>
  </si>
  <si>
    <t>「鏡影」</t>
  </si>
  <si>
    <t xml:space="preserve">弓月侑希 </t>
  </si>
  <si>
    <t>你可以在其他人進行判定的時候記憶對方當時的能力，然後必要的時候複製對方當時用來判定的能力值，當你記憶下一個對象的能力時會洗掉上一個。</t>
  </si>
  <si>
    <t>傲者之夢</t>
  </si>
  <si>
    <r>
      <rPr>
        <rFont val="MingLiU"/>
        <color rgb="FF000000"/>
        <sz val="10.0"/>
      </rPr>
      <t>你比任何人的思考都還要靈活，但這並不是一件好事。</t>
    </r>
    <r>
      <rPr>
        <rFont val="Arial"/>
        <color rgb="FF000000"/>
        <sz val="10.0"/>
      </rPr>
      <t xml:space="preserve"> </t>
    </r>
    <r>
      <rPr>
        <rFont val="細明體"/>
        <color rgb="FF000000"/>
        <sz val="10.0"/>
      </rPr>
      <t>東西越看越多的你，對這個世界的認知越來越複雜，你無法分辨什麼才算是善、什麼才算是惡。</t>
    </r>
    <r>
      <rPr>
        <rFont val="Arial"/>
        <color rgb="FF000000"/>
        <sz val="10.0"/>
      </rPr>
      <t xml:space="preserve"> </t>
    </r>
    <r>
      <rPr>
        <rFont val="細明體"/>
        <color rgb="FF000000"/>
        <sz val="10.0"/>
      </rPr>
      <t>最後，你決定選擇一條沒有盡頭而艱難的道路，筆直地走下去。</t>
    </r>
  </si>
  <si>
    <t>「真誥」</t>
  </si>
  <si>
    <t xml:space="preserve">黃魟 </t>
  </si>
  <si>
    <t>你可以改變一次骰子的結果，讓你得到重骰的機會。在使用過這個後，你無法在這場戰鬥中給予你的敵人（意圖攻擊你、你意圖攻擊）的人致命一擊，且對自己設定「矛盾」情感。</t>
  </si>
  <si>
    <t>自我中心</t>
  </si>
  <si>
    <t>你除了自己以外誰也不愛──任何的考慮都是從自己為出發點的自私自利。總是自認旁觀者地觀察別人，你只相信自己的決定、即便這份自負終有一天將你扼殺──在你那無所不用其極的手段背後，是想等待能夠踏進你內心之中的人嗎？</t>
  </si>
  <si>
    <t>「認知矛盾」</t>
  </si>
  <si>
    <r>
      <rPr>
        <rFont val="MingLiU"/>
        <color rgb="FF000000"/>
        <sz val="10.0"/>
      </rPr>
      <t>劇本結束後每一個感情對決</t>
    </r>
    <r>
      <rPr>
        <rFont val="Arial"/>
        <color rgb="FF000000"/>
        <sz val="10.0"/>
      </rPr>
      <t>+1</t>
    </r>
    <r>
      <rPr>
        <rFont val="細明體"/>
        <color rgb="FF000000"/>
        <sz val="10.0"/>
      </rPr>
      <t>經驗</t>
    </r>
    <r>
      <rPr>
        <rFont val="Arial"/>
        <color rgb="FF000000"/>
        <sz val="10.0"/>
      </rPr>
      <t xml:space="preserve"> </t>
    </r>
  </si>
  <si>
    <t xml:space="preserve">自我矛盾(須對自己使用，此感情有羈絆值) </t>
  </si>
  <si>
    <t xml:space="preserve">文 </t>
  </si>
  <si>
    <t>你無法從登錄感情得到任何羈絆值，即便感情對決也一樣。每遇到PC/NPC時，能夠藉由知覺判定來得知該PC/NPC的可能性。除了會心的時候必定猜出外，其餘依照達成值讓GM給予不等數目的可能性給你猜測。可能性其中必定有一為真，一名PC/NPC限定行使一次。當你猜測錯誤時，你的情緒值上升1D6；猜測正確時，對該名PC/NPC放置感情「優越感」。</t>
  </si>
  <si>
    <t>起源：根源探求者</t>
  </si>
  <si>
    <t>生存感相當微弱，彷彿不是為了自己而活。沒有靠著牆壁行走的話，就沒有走向下個目的地的動力。你常常問自己「為什麼活著呢？」雖然你不會想用自殺做為結束這場鬧劇的方式，但是不斷的想要抓住別的東西，即便抓不穩也是想要有一個「活著的目的」。雖然你知道，就算找到了；也不會改變什麼。</t>
  </si>
  <si>
    <t>「空虛的追求」</t>
  </si>
  <si>
    <r>
      <rPr>
        <rFont val="MingLiU"/>
        <color rgb="FF000000"/>
        <sz val="10.0"/>
      </rPr>
      <t>你使用的第一個感情必須是「仰賴者」。這效果得到的羈絆值</t>
    </r>
    <r>
      <rPr>
        <rFont val="Arial"/>
        <color rgb="FF000000"/>
        <sz val="10.0"/>
      </rPr>
      <t>+1</t>
    </r>
    <r>
      <rPr>
        <rFont val="細明體"/>
        <color rgb="FF000000"/>
        <sz val="10.0"/>
      </rPr>
      <t>。你每天開始的時候都會丟一個</t>
    </r>
    <r>
      <rPr>
        <rFont val="Arial"/>
        <color rgb="FF000000"/>
        <sz val="10.0"/>
      </rPr>
      <t>1D6</t>
    </r>
    <r>
      <rPr>
        <rFont val="細明體"/>
        <color rgb="FF000000"/>
        <sz val="10.0"/>
      </rPr>
      <t>，如果丟出</t>
    </r>
    <r>
      <rPr>
        <rFont val="Arial"/>
        <color rgb="FF000000"/>
        <sz val="10.0"/>
      </rPr>
      <t>3</t>
    </r>
    <r>
      <rPr>
        <rFont val="細明體"/>
        <color rgb="FF000000"/>
        <sz val="10.0"/>
      </rPr>
      <t>以下表示感覺今天一切順利、丟出</t>
    </r>
    <r>
      <rPr>
        <rFont val="Arial"/>
        <color rgb="FF000000"/>
        <sz val="10.0"/>
      </rPr>
      <t>4</t>
    </r>
    <r>
      <rPr>
        <rFont val="細明體"/>
        <color rgb="FF000000"/>
        <sz val="10.0"/>
      </rPr>
      <t>以上表示你感覺今天一切都很不順。這不會影響任何判定。如果在一天當中丟出</t>
    </r>
    <r>
      <rPr>
        <rFont val="Arial"/>
        <color rgb="FF000000"/>
        <sz val="10.0"/>
      </rPr>
      <t>11</t>
    </r>
    <r>
      <rPr>
        <rFont val="細明體"/>
        <color rgb="FF000000"/>
        <sz val="10.0"/>
      </rPr>
      <t>或是</t>
    </r>
    <r>
      <rPr>
        <rFont val="Arial"/>
        <color rgb="FF000000"/>
        <sz val="10.0"/>
      </rPr>
      <t>66</t>
    </r>
    <r>
      <rPr>
        <rFont val="細明體"/>
        <color rgb="FF000000"/>
        <sz val="10.0"/>
      </rPr>
      <t>，就會改變你的這種感覺。</t>
    </r>
  </si>
  <si>
    <r>
      <rPr>
        <rFont val="MingLiU"/>
        <color rgb="FF000000"/>
        <sz val="10.0"/>
      </rPr>
      <t>仰賴者死亡</t>
    </r>
    <r>
      <rPr>
        <rFont val="Arial"/>
        <color rgb="FF000000"/>
        <sz val="10.0"/>
      </rPr>
      <t xml:space="preserve"> </t>
    </r>
  </si>
  <si>
    <t>你的效果改為：你每天開始的時候都會丟一個1D6，如果丟出3以下表示所有判定增加1D6、丟出4以上所有判定減少1D6。如果在一天當中丟出11或是66，就會反轉效果。</t>
  </si>
  <si>
    <t>微小的絆腳石</t>
  </si>
  <si>
    <t>你運氣不算差，才能方面也沒有什麼讓人挑剔的地方，甚至在異性緣上也可以說頗有桃花運。但不論是什麼事，你總是在關鍵的那一刻上跌了一跤。自出生以來多次同樣狀況的事讓你感到煩躁，你總是在想「靠，有沒有這麼衰小啊？！」</t>
  </si>
  <si>
    <t>「不運」</t>
  </si>
  <si>
    <t xml:space="preserve">衰小（黑色） </t>
  </si>
  <si>
    <t xml:space="preserve">尼菲索姆、紫羽信實 </t>
  </si>
  <si>
    <t>計算好的事總是會失手，你也不知道是為什麼。在一天一次2d6骰數值10以上的判定中會反轉為1.1，但是在這這之後你的異性緣都奇好無比。（由GM演出）</t>
  </si>
  <si>
    <t xml:space="preserve">你反轉的判定因為任何原因沒有大失敗 </t>
  </si>
  <si>
    <t>你的效果追加：在一天一次2d6骰數值4以下的判定中會反轉為6.6。</t>
  </si>
  <si>
    <t>奉獻者</t>
  </si>
  <si>
    <r>
      <rPr>
        <rFont val="MingLiU"/>
        <color rgb="FF000000"/>
        <sz val="10.0"/>
      </rPr>
      <t>這世上你不在意著任何事，能夠付出所有的存在。</t>
    </r>
    <r>
      <rPr>
        <rFont val="Arial"/>
        <color rgb="FF000000"/>
        <sz val="10.0"/>
      </rPr>
      <t xml:space="preserve"> </t>
    </r>
    <r>
      <rPr>
        <rFont val="細明體"/>
        <color rgb="FF000000"/>
        <sz val="10.0"/>
      </rPr>
      <t>因為你不會刻意追求什麼，因此你也不在意失去什麼。</t>
    </r>
    <r>
      <rPr>
        <rFont val="Arial"/>
        <color rgb="FF000000"/>
        <sz val="10.0"/>
      </rPr>
      <t xml:space="preserve"> </t>
    </r>
    <r>
      <rPr>
        <rFont val="細明體"/>
        <color rgb="FF000000"/>
        <sz val="10.0"/>
      </rPr>
      <t>但你總會想要獲得一份認同感，當他出現時，想必你會排除一切而</t>
    </r>
    <r>
      <rPr>
        <rFont val="Arial"/>
        <color rgb="FF000000"/>
        <sz val="10.0"/>
      </rPr>
      <t xml:space="preserve"> </t>
    </r>
    <r>
      <rPr>
        <rFont val="細明體"/>
        <color rgb="FF000000"/>
        <sz val="10.0"/>
      </rPr>
      <t>努力獲得他的認同吧？</t>
    </r>
  </si>
  <si>
    <t>「魂之頌歌」</t>
  </si>
  <si>
    <t xml:space="preserve">超能力者 </t>
  </si>
  <si>
    <t xml:space="preserve">無法傳遞的溫暖 </t>
  </si>
  <si>
    <t xml:space="preserve">秋堂由夕 </t>
  </si>
  <si>
    <t xml:space="preserve">對你使用過「感應」的角色施放靈魂連結，這不能幫助你無法確定位置或是他們任何的情報。但是，當他們死亡的時候你可以感覺到。你可以用自己的生命來使一個角色恢復到生命力一的狀態。當這個發動後，你成為行動不能狀態。　</t>
  </si>
  <si>
    <t>異端</t>
  </si>
  <si>
    <t>不管如何，你跳脫了常識的框架。也許是魔法、電波、或是異世界異次元人──能肯定的只有一點，你的價值觀肯定與現實崩離破碎。</t>
  </si>
  <si>
    <t>「瘋狂色彩」</t>
  </si>
  <si>
    <t xml:space="preserve">異端 </t>
  </si>
  <si>
    <t xml:space="preserve">電波(黑色) </t>
  </si>
  <si>
    <t xml:space="preserve">優樹 </t>
  </si>
  <si>
    <r>
      <rPr>
        <rFont val="MingLiU"/>
        <color rgb="FF000000"/>
        <sz val="10.0"/>
      </rPr>
      <t>你所有異端特技，包含所造成傷害的達成值</t>
    </r>
    <r>
      <rPr>
        <rFont val="Arial"/>
        <color rgb="FF000000"/>
        <sz val="10.0"/>
      </rPr>
      <t>+1</t>
    </r>
    <r>
      <rPr>
        <rFont val="細明體"/>
        <color rgb="FF000000"/>
        <sz val="10.0"/>
      </rPr>
      <t>。</t>
    </r>
    <r>
      <rPr>
        <rFont val="Arial"/>
        <color rgb="FF000000"/>
        <sz val="10.0"/>
      </rPr>
      <t xml:space="preserve"> </t>
    </r>
  </si>
  <si>
    <t>常識人</t>
  </si>
  <si>
    <r>
      <rPr>
        <rFont val="MingLiU"/>
        <color rgb="FF000000"/>
        <sz val="10.0"/>
      </rPr>
      <t>你曾經是毫無疑問的普通人。跟魔術人外本該完全無緣的存在。</t>
    </r>
    <r>
      <rPr>
        <rFont val="Arial"/>
        <color rgb="FF000000"/>
        <sz val="10.0"/>
      </rPr>
      <t xml:space="preserve"> </t>
    </r>
    <r>
      <rPr>
        <rFont val="細明體"/>
        <color rgb="FF000000"/>
        <sz val="10.0"/>
      </rPr>
      <t>但是很不幸，你的生活起了「異質」</t>
    </r>
    <r>
      <rPr>
        <rFont val="Arial"/>
        <color rgb="FF000000"/>
        <sz val="10.0"/>
      </rPr>
      <t>……</t>
    </r>
    <r>
      <rPr>
        <rFont val="細明體"/>
        <color rgb="FF000000"/>
        <sz val="10.0"/>
      </rPr>
      <t>試著把那份異常，化為你原本的日常吧！</t>
    </r>
  </si>
  <si>
    <t>「普通」</t>
  </si>
  <si>
    <t xml:space="preserve">超能力者LV3，無任何血緣 </t>
  </si>
  <si>
    <t xml:space="preserve">普通(絆值50) </t>
  </si>
  <si>
    <t xml:space="preserve">流轉子學弟 </t>
  </si>
  <si>
    <t>你在自己的感情表內記錄自己，並得到普通感情。在因為感情對決消失前，你不會成為背反者，也無法使用無盡破壞。</t>
  </si>
  <si>
    <t>同性不信</t>
  </si>
  <si>
    <r>
      <rPr>
        <rFont val="MingLiU"/>
        <color rgb="FF000000"/>
        <sz val="10.0"/>
      </rPr>
      <t>這是另一種極端的潔癖症，你無法接受任何與你同性別的人──包含你自己在內。也許是天生使然、也許是遭遇了什麼事件使然</t>
    </r>
    <r>
      <rPr>
        <rFont val="Arial"/>
        <color rgb="FF000000"/>
        <sz val="10.0"/>
      </rPr>
      <t>……</t>
    </r>
    <r>
      <rPr>
        <rFont val="細明體"/>
        <color rgb="FF000000"/>
        <sz val="10.0"/>
      </rPr>
      <t>你開始過著與自己性別不符的生活。</t>
    </r>
  </si>
  <si>
    <t>「性別倒錯」</t>
  </si>
  <si>
    <t xml:space="preserve">鶯茶蘇芳 </t>
  </si>
  <si>
    <t>只要遇到同性別的人，就必須在角色表內登記「隔意」。另外必須對自己設置「自己矛盾」。當你受到來自登記「隔意」對象的對抗判定時，達成值上升3點。</t>
  </si>
  <si>
    <t>起源：無價值</t>
  </si>
  <si>
    <r>
      <rPr>
        <rFont val="MingLiU"/>
        <color rgb="FF000000"/>
        <sz val="10.0"/>
      </rPr>
      <t>無論你做出什麼，掙扎著什麼──都無法改變。所有的一切都是徒勞無功、所有的努力都會付諸流水。那麼，你會接受它過完無價值的一生嗎？亦或是</t>
    </r>
    <r>
      <rPr>
        <rFont val="Arial"/>
        <color rgb="FF000000"/>
        <sz val="10.0"/>
      </rPr>
      <t>……</t>
    </r>
  </si>
  <si>
    <t>「命運的反抗者」</t>
  </si>
  <si>
    <t xml:space="preserve">臙條巴 </t>
  </si>
  <si>
    <r>
      <rPr>
        <rFont val="MingLiU"/>
        <color rgb="FF000000"/>
        <sz val="10.0"/>
      </rPr>
      <t>你所有的判定</t>
    </r>
    <r>
      <rPr>
        <rFont val="Arial"/>
        <color rgb="FF000000"/>
        <sz val="10.0"/>
      </rPr>
      <t>-4</t>
    </r>
    <r>
      <rPr>
        <rFont val="細明體"/>
        <color rgb="FF000000"/>
        <sz val="10.0"/>
      </rPr>
      <t>，你的會心下降</t>
    </r>
    <r>
      <rPr>
        <rFont val="Arial"/>
        <color rgb="FF000000"/>
        <sz val="10.0"/>
      </rPr>
      <t>1</t>
    </r>
    <r>
      <rPr>
        <rFont val="細明體"/>
        <color rgb="FF000000"/>
        <sz val="10.0"/>
      </rPr>
      <t>，【生命力】增加</t>
    </r>
    <r>
      <rPr>
        <rFont val="Arial"/>
        <color rgb="FF000000"/>
        <sz val="10.0"/>
      </rPr>
      <t>10</t>
    </r>
    <r>
      <rPr>
        <rFont val="細明體"/>
        <color rgb="FF000000"/>
        <sz val="10.0"/>
      </rPr>
      <t>。每當你因為判定</t>
    </r>
    <r>
      <rPr>
        <rFont val="Arial"/>
        <color rgb="FF000000"/>
        <sz val="10.0"/>
      </rPr>
      <t>2D6</t>
    </r>
    <r>
      <rPr>
        <rFont val="細明體"/>
        <color rgb="FF000000"/>
        <sz val="10.0"/>
      </rPr>
      <t>丟出「</t>
    </r>
    <r>
      <rPr>
        <rFont val="Arial"/>
        <color rgb="FF000000"/>
        <sz val="10.0"/>
      </rPr>
      <t>11</t>
    </r>
    <r>
      <rPr>
        <rFont val="細明體"/>
        <color rgb="FF000000"/>
        <sz val="10.0"/>
      </rPr>
      <t>」以上時</t>
    </r>
    <r>
      <rPr>
        <rFont val="Arial"/>
        <color rgb="FF000000"/>
        <sz val="10.0"/>
      </rPr>
      <t>(</t>
    </r>
    <r>
      <rPr>
        <rFont val="細明體"/>
        <color rgb="FF000000"/>
        <sz val="10.0"/>
      </rPr>
      <t>不計算額外增加的骰子或達成值</t>
    </r>
    <r>
      <rPr>
        <rFont val="Arial"/>
        <color rgb="FF000000"/>
        <sz val="10.0"/>
      </rPr>
      <t>)</t>
    </r>
    <r>
      <rPr>
        <rFont val="細明體"/>
        <color rgb="FF000000"/>
        <sz val="10.0"/>
      </rPr>
      <t>，額外得到一個「突破」狀態。每一個突破狀態使你的判定</t>
    </r>
    <r>
      <rPr>
        <rFont val="Arial"/>
        <color rgb="FF000000"/>
        <sz val="10.0"/>
      </rPr>
      <t>+1</t>
    </r>
    <r>
      <rPr>
        <rFont val="細明體"/>
        <color rgb="FF000000"/>
        <sz val="10.0"/>
      </rPr>
      <t>，最多得到七個。</t>
    </r>
    <r>
      <rPr>
        <rFont val="Arial"/>
        <color rgb="FF000000"/>
        <sz val="10.0"/>
      </rPr>
      <t xml:space="preserve"> </t>
    </r>
  </si>
  <si>
    <t>斷魔之劍</t>
  </si>
  <si>
    <r>
      <rPr>
        <rFont val="MingLiU"/>
        <color rgb="FF000000"/>
        <sz val="10.0"/>
      </rPr>
      <t>你明白何者是「惡」。也許你曾經在地獄下掙扎著──因此，你比誰都還要了解惡；</t>
    </r>
    <r>
      <rPr>
        <rFont val="Arial"/>
        <color rgb="FF000000"/>
        <sz val="10.0"/>
      </rPr>
      <t xml:space="preserve"> </t>
    </r>
    <r>
      <rPr>
        <rFont val="細明體"/>
        <color rgb="FF000000"/>
        <sz val="10.0"/>
      </rPr>
      <t>也因此──你開始往光明邁步。對著未被救贖的黑暗，伸出了你的手、亦或是劍。</t>
    </r>
  </si>
  <si>
    <t>「救贖之刃」</t>
  </si>
  <si>
    <t xml:space="preserve">救贖 </t>
  </si>
  <si>
    <t xml:space="preserve">鶯茶媛姬 </t>
  </si>
  <si>
    <r>
      <rPr>
        <rFont val="MingLiU"/>
        <color rgb="FF000000"/>
        <sz val="10.0"/>
      </rPr>
      <t>你瘋狂色調感情的絆值</t>
    </r>
    <r>
      <rPr>
        <rFont val="Arial"/>
        <color rgb="FF000000"/>
        <sz val="10.0"/>
      </rPr>
      <t>-1</t>
    </r>
    <r>
      <rPr>
        <rFont val="細明體"/>
        <color rgb="FF000000"/>
        <sz val="10.0"/>
      </rPr>
      <t>，潔淨感情的絆值</t>
    </r>
    <r>
      <rPr>
        <rFont val="Arial"/>
        <color rgb="FF000000"/>
        <sz val="10.0"/>
      </rPr>
      <t>+1</t>
    </r>
    <r>
      <rPr>
        <rFont val="細明體"/>
        <color rgb="FF000000"/>
        <sz val="10.0"/>
      </rPr>
      <t>。若戰鬥對象擁有瘋狂感情時，依據</t>
    </r>
    <r>
      <rPr>
        <rFont val="Arial"/>
        <color rgb="FF000000"/>
        <sz val="10.0"/>
      </rPr>
      <t>(</t>
    </r>
    <r>
      <rPr>
        <rFont val="細明體"/>
        <color rgb="FF000000"/>
        <sz val="10.0"/>
      </rPr>
      <t>【數量</t>
    </r>
    <r>
      <rPr>
        <rFont val="Arial"/>
        <color rgb="FF000000"/>
        <sz val="10.0"/>
      </rPr>
      <t>/2</t>
    </r>
    <r>
      <rPr>
        <rFont val="細明體"/>
        <color rgb="FF000000"/>
        <sz val="10.0"/>
      </rPr>
      <t>】，小數四捨五入</t>
    </r>
    <r>
      <rPr>
        <rFont val="Arial"/>
        <color rgb="FF000000"/>
        <sz val="10.0"/>
      </rPr>
      <t>)</t>
    </r>
    <r>
      <rPr>
        <rFont val="細明體"/>
        <color rgb="FF000000"/>
        <sz val="10.0"/>
      </rPr>
      <t>增加你的判定與傷害。</t>
    </r>
    <r>
      <rPr>
        <rFont val="Arial"/>
        <color rgb="FF000000"/>
        <sz val="10.0"/>
      </rPr>
      <t xml:space="preserve"> 
</t>
    </r>
    <r>
      <rPr>
        <rFont val="細明體"/>
        <color rgb="FF000000"/>
        <sz val="10.0"/>
      </rPr>
      <t>潔淨感情</t>
    </r>
    <r>
      <rPr>
        <rFont val="Arial"/>
        <color rgb="FF000000"/>
        <sz val="10.0"/>
      </rPr>
      <t xml:space="preserve"> </t>
    </r>
    <r>
      <rPr>
        <rFont val="細明體"/>
        <color rgb="FF000000"/>
        <sz val="10.0"/>
      </rPr>
      <t>救贖</t>
    </r>
    <r>
      <rPr>
        <rFont val="Arial"/>
        <color rgb="FF000000"/>
        <sz val="10.0"/>
      </rPr>
      <t>[</t>
    </r>
    <r>
      <rPr>
        <rFont val="細明體"/>
        <color rgb="FF000000"/>
        <sz val="10.0"/>
      </rPr>
      <t>絆值</t>
    </r>
    <r>
      <rPr>
        <rFont val="Arial"/>
        <color rgb="FF000000"/>
        <sz val="10.0"/>
      </rPr>
      <t xml:space="preserve">2] 
</t>
    </r>
    <r>
      <rPr>
        <rFont val="細明體"/>
        <color rgb="FF000000"/>
        <sz val="10.0"/>
      </rPr>
      <t>拯救那個人、讓他的靈魂從黑暗中獲得昇華與安息是你的使命。</t>
    </r>
  </si>
  <si>
    <t>平常心</t>
  </si>
  <si>
    <t>無論遭逢什麼，你皆能隨遇而安。</t>
  </si>
  <si>
    <t>「標準程序」</t>
  </si>
  <si>
    <t xml:space="preserve">冷靜 </t>
  </si>
  <si>
    <t xml:space="preserve">神凰殿鷫 </t>
  </si>
  <si>
    <r>
      <rPr>
        <rFont val="MingLiU"/>
        <color rgb="FF000000"/>
        <sz val="10.0"/>
      </rPr>
      <t>你失去會心，相對的骰出</t>
    </r>
    <r>
      <rPr>
        <rFont val="Arial"/>
        <color rgb="FF000000"/>
        <sz val="10.0"/>
      </rPr>
      <t>1,1</t>
    </r>
    <r>
      <rPr>
        <rFont val="細明體"/>
        <color rgb="FF000000"/>
        <sz val="10.0"/>
      </rPr>
      <t>時可以再骰一次。</t>
    </r>
  </si>
  <si>
    <t>無銘傳承</t>
  </si>
  <si>
    <r>
      <rPr>
        <rFont val="MingLiU"/>
        <color rgb="FF000000"/>
        <sz val="10.0"/>
      </rPr>
      <t>就如同你的劍道、你手握的劍，你的意志一般。</t>
    </r>
    <r>
      <rPr>
        <rFont val="Arial"/>
        <color rgb="FF000000"/>
        <sz val="10.0"/>
      </rPr>
      <t xml:space="preserve"> </t>
    </r>
    <r>
      <rPr>
        <rFont val="細明體"/>
        <color rgb="FF000000"/>
        <sz val="10.0"/>
      </rPr>
      <t>所謂「無名」是所有傳承者必須親自去確認、尋找的答案。</t>
    </r>
    <r>
      <rPr>
        <rFont val="Arial"/>
        <color rgb="FF000000"/>
        <sz val="10.0"/>
      </rPr>
      <t xml:space="preserve"> </t>
    </r>
    <r>
      <rPr>
        <rFont val="細明體"/>
        <color rgb="FF000000"/>
        <sz val="10.0"/>
      </rPr>
      <t>作為少數的無名之劍繼承人，你將活出怎麼樣的人生呢？</t>
    </r>
  </si>
  <si>
    <t>「劍本無名、人從自然」</t>
  </si>
  <si>
    <t xml:space="preserve">無名劍 </t>
  </si>
  <si>
    <t xml:space="preserve">自我認識 </t>
  </si>
  <si>
    <t xml:space="preserve">我孫子篠 </t>
  </si>
  <si>
    <r>
      <rPr>
        <rFont val="MingLiU"/>
        <color rgb="FF000000"/>
        <sz val="10.0"/>
      </rPr>
      <t>你的</t>
    </r>
    <r>
      <rPr>
        <rFont val="Arial"/>
        <color rgb="FF000000"/>
        <sz val="10.0"/>
      </rPr>
      <t>Cost</t>
    </r>
    <r>
      <rPr>
        <rFont val="細明體"/>
        <color rgb="FF000000"/>
        <sz val="10.0"/>
      </rPr>
      <t>上限增加</t>
    </r>
    <r>
      <rPr>
        <rFont val="Arial"/>
        <color rgb="FF000000"/>
        <sz val="10.0"/>
      </rPr>
      <t>1</t>
    </r>
    <r>
      <rPr>
        <rFont val="細明體"/>
        <color rgb="FF000000"/>
        <sz val="10.0"/>
      </rPr>
      <t>。每天開始時額外得到</t>
    </r>
    <r>
      <rPr>
        <rFont val="Arial"/>
        <color rgb="FF000000"/>
        <sz val="10.0"/>
      </rPr>
      <t>1</t>
    </r>
    <r>
      <rPr>
        <rFont val="細明體"/>
        <color rgb="FF000000"/>
        <sz val="10.0"/>
      </rPr>
      <t>個</t>
    </r>
    <r>
      <rPr>
        <rFont val="Arial"/>
        <color rgb="FF000000"/>
        <sz val="10.0"/>
      </rPr>
      <t>Cost</t>
    </r>
    <r>
      <rPr>
        <rFont val="細明體"/>
        <color rgb="FF000000"/>
        <sz val="10.0"/>
      </rPr>
      <t>。</t>
    </r>
  </si>
  <si>
    <t>歷史的黑影</t>
  </si>
  <si>
    <r>
      <rPr>
        <rFont val="MingLiU"/>
        <color rgb="FF000000"/>
        <sz val="10.0"/>
      </rPr>
      <t>你是未能被歷史記載的「影之後代」。</t>
    </r>
    <r>
      <rPr>
        <rFont val="Arial"/>
        <color rgb="FF000000"/>
        <sz val="10.0"/>
      </rPr>
      <t xml:space="preserve"> </t>
    </r>
    <r>
      <rPr>
        <rFont val="細明體"/>
        <color rgb="FF000000"/>
        <sz val="10.0"/>
      </rPr>
      <t>你的先祖們也許對於歷史有著舉足輕重的影響，但卻因故抹消無能記於史書。</t>
    </r>
    <r>
      <rPr>
        <rFont val="Arial"/>
        <color rgb="FF000000"/>
        <sz val="10.0"/>
      </rPr>
      <t xml:space="preserve"> </t>
    </r>
    <r>
      <rPr>
        <rFont val="細明體"/>
        <color rgb="FF000000"/>
        <sz val="10.0"/>
      </rPr>
      <t>你深知，與黑暗對立的從來不是光明，而是另一股黑暗。</t>
    </r>
  </si>
  <si>
    <t>「英雄無名」</t>
  </si>
  <si>
    <t xml:space="preserve">策士or忍者 </t>
  </si>
  <si>
    <t xml:space="preserve">無 </t>
  </si>
  <si>
    <t xml:space="preserve">每一個新的場景，你都能換成截然不同的外觀與外貌。識破你的真實身分需以知覺對抗你的理智。你能要求GM以NPC方式敘述你想要做的角色動作與台詞。 </t>
  </si>
  <si>
    <t>阿芙蘿黛蒂的祝福</t>
  </si>
  <si>
    <t xml:space="preserve">阿芙蘿黛蒂，雙魚座的守護神為同一化身的惡魔。自然而然散發著性的吸引力，對象不分性別。 </t>
  </si>
  <si>
    <t>「阿斯塔洛特的誘惑」</t>
  </si>
  <si>
    <r>
      <rPr>
        <rFont val="MingLiU"/>
        <color rgb="FF000000"/>
        <sz val="10.0"/>
      </rPr>
      <t>同行者和自己的潛行判定</t>
    </r>
    <r>
      <rPr>
        <rFont val="Arial"/>
        <color rgb="FF000000"/>
        <sz val="10.0"/>
      </rPr>
      <t>-1</t>
    </r>
    <r>
      <rPr>
        <rFont val="細明體"/>
        <color rgb="FF000000"/>
        <sz val="10.0"/>
      </rPr>
      <t>。比較容易通過對話取得情報，用意志作情報判定時，達成值</t>
    </r>
    <r>
      <rPr>
        <rFont val="Arial"/>
        <color rgb="FF000000"/>
        <sz val="10.0"/>
      </rPr>
      <t>+2</t>
    </r>
    <r>
      <rPr>
        <rFont val="細明體"/>
        <color rgb="FF000000"/>
        <sz val="10.0"/>
      </rPr>
      <t>。</t>
    </r>
    <r>
      <rPr>
        <rFont val="Arial"/>
        <color rgb="FF000000"/>
        <sz val="10.0"/>
      </rPr>
      <t xml:space="preserve"> </t>
    </r>
  </si>
  <si>
    <t>起源：懦弱</t>
  </si>
  <si>
    <r>
      <rPr>
        <rFont val="MingLiU"/>
        <color rgb="FF000000"/>
        <sz val="10.0"/>
      </rPr>
      <t>你害怕惹事生非，對於上面的人說一你絕對不敢說二。</t>
    </r>
    <r>
      <rPr>
        <rFont val="Arial"/>
        <color rgb="FF000000"/>
        <sz val="10.0"/>
      </rPr>
      <t xml:space="preserve"> </t>
    </r>
  </si>
  <si>
    <t>「社會的齒輪」</t>
  </si>
  <si>
    <t xml:space="preserve">不安 </t>
  </si>
  <si>
    <t xml:space="preserve">地球上的社畜們 </t>
  </si>
  <si>
    <t xml:space="preserve">你在自己的感情表內記錄自己，並得到不安。你主動進行的判定減少1D6，被動進行的判定增加1D6。 </t>
  </si>
  <si>
    <t>天選之人</t>
  </si>
  <si>
    <r>
      <rPr>
        <rFont val="MingLiU"/>
        <color rgb="FF000000"/>
        <sz val="10.0"/>
      </rPr>
      <t>你的運氣總是比別人好，尤其在轉蛋遊戲上更能明顯展示差距。</t>
    </r>
    <r>
      <rPr>
        <rFont val="Arial"/>
        <color rgb="FF000000"/>
        <sz val="10.0"/>
      </rPr>
      <t xml:space="preserve"> </t>
    </r>
  </si>
  <si>
    <t>「命運女神的微笑」</t>
  </si>
  <si>
    <r>
      <rPr>
        <rFont val="MingLiU"/>
        <color rgb="FF000000"/>
        <sz val="10.0"/>
      </rPr>
      <t>你的會心</t>
    </r>
    <r>
      <rPr>
        <rFont val="Arial"/>
        <color rgb="FF000000"/>
        <sz val="10.0"/>
      </rPr>
      <t>-1</t>
    </r>
    <r>
      <rPr>
        <rFont val="細明體"/>
        <color rgb="FF000000"/>
        <sz val="10.0"/>
      </rPr>
      <t>，會心上限</t>
    </r>
    <r>
      <rPr>
        <rFont val="Arial"/>
        <color rgb="FF000000"/>
        <sz val="10.0"/>
      </rPr>
      <t>+1(</t>
    </r>
    <r>
      <rPr>
        <rFont val="細明體"/>
        <color rgb="FF000000"/>
        <sz val="10.0"/>
      </rPr>
      <t>由</t>
    </r>
    <r>
      <rPr>
        <rFont val="Arial"/>
        <color rgb="FF000000"/>
        <sz val="10.0"/>
      </rPr>
      <t>3</t>
    </r>
    <r>
      <rPr>
        <rFont val="細明體"/>
        <color rgb="FF000000"/>
        <sz val="10.0"/>
      </rPr>
      <t>變成</t>
    </r>
    <r>
      <rPr>
        <rFont val="Arial"/>
        <color rgb="FF000000"/>
        <sz val="10.0"/>
      </rPr>
      <t>4)</t>
    </r>
    <r>
      <rPr>
        <rFont val="細明體"/>
        <color rgb="FF000000"/>
        <sz val="10.0"/>
      </rPr>
      <t>。一劇本一次，你可以在任何時候讓自己的判定大成功。此效果發動後會心上限成為</t>
    </r>
    <r>
      <rPr>
        <rFont val="Arial"/>
        <color rgb="FF000000"/>
        <sz val="10.0"/>
      </rPr>
      <t>0</t>
    </r>
    <r>
      <rPr>
        <rFont val="細明體"/>
        <color rgb="FF000000"/>
        <sz val="10.0"/>
      </rPr>
      <t>。同場景除了你之外還有其他同樣風格的角色存在時，你們的會心上限一同成為</t>
    </r>
    <r>
      <rPr>
        <rFont val="Arial"/>
        <color rgb="FF000000"/>
        <sz val="10.0"/>
      </rPr>
      <t>0</t>
    </r>
    <r>
      <rPr>
        <rFont val="細明體"/>
        <color rgb="FF000000"/>
        <sz val="10.0"/>
      </rPr>
      <t>。</t>
    </r>
  </si>
  <si>
    <r>
      <rPr>
        <rFont val="MingLiU"/>
        <color rgb="FF000000"/>
        <sz val="10.0"/>
      </rPr>
      <t>能力基本值</t>
    </r>
  </si>
  <si>
    <t>級別修正表</t>
  </si>
  <si>
    <t>等級</t>
  </si>
  <si>
    <r>
      <rPr>
        <rFont val="MingLiU"/>
        <color rgb="FF000000"/>
        <sz val="10.0"/>
      </rPr>
      <t>取得特技</t>
    </r>
    <r>
      <rPr>
        <rFont val="Arial"/>
        <color rgb="FF000000"/>
        <sz val="10.0"/>
      </rPr>
      <t xml:space="preserve"> </t>
    </r>
    <r>
      <rPr>
        <rFont val="細明體"/>
        <color rgb="FF000000"/>
        <sz val="10.0"/>
      </rPr>
      <t>▲</t>
    </r>
  </si>
  <si>
    <t>初期取得：</t>
  </si>
  <si>
    <t>掌握弓或是隱密通路，之後選擇一個自己喜歡的特技；
特殊：三級建立角色時初期級別是狩人等級三的話，人體理解或戰場掌握擇一+1級。</t>
  </si>
  <si>
    <t>升級：</t>
  </si>
  <si>
    <t>等級上升時，選擇一個喜歡的特技，等級五和十時再選一個；
狩人等級六和等級九時，可以選擇人體理解、戰場掌握擇一+1級，或是你的【體力】、【知覺】擇一紅利+1</t>
  </si>
  <si>
    <t>取得限制</t>
  </si>
  <si>
    <t xml:space="preserve">攻擊類型／射擊 </t>
  </si>
  <si>
    <t>待機延遲2</t>
  </si>
  <si>
    <t>待機總合／2</t>
  </si>
  <si>
    <t>初期技能</t>
  </si>
  <si>
    <t>造成２Ｄ６+《體力》點傷害；每追加一回《４》點待機延遲，《》內的體力倍率+１且命中得到+１獎勵。</t>
  </si>
  <si>
    <r>
      <rPr>
        <rFont val="MingLiU"/>
        <color rgb="FF000000"/>
        <sz val="10.0"/>
      </rPr>
      <t>攻擊類型／射擊</t>
    </r>
    <r>
      <rPr>
        <rFont val="Arial"/>
        <color rgb="FF000000"/>
        <sz val="10.0"/>
      </rPr>
      <t xml:space="preserve">  </t>
    </r>
  </si>
  <si>
    <t>箭矢數*2</t>
  </si>
  <si>
    <t xml:space="preserve"> 和〈弓掌握〉組合使用，這次攻擊不能組合其他進攻的特技，如果待機在0以上也不能進行攻擊。 
操縱複數的箭矢的技巧，最初是同時射出2支箭矢。攻擊+2的[操縱箭矢數-1]次方點實際傷害，你也承受這傷害一半的上限傷害。 
使用這特技時命中受到[操縱的箭矢數-1]的懲罰，並且主要階段結束後行動點數變成0、進入行動完成狀態。 
●你每擁有一個符合★條件的特技同時射出的箭矢數可以+1(沒有必須選擇最大數目的規則)，上限是9支。 
※數值x2的算法是2→4→8→16(以此類推)，最大256(實際傷害)/128(上限傷害)。</t>
  </si>
  <si>
    <t>中斷</t>
  </si>
  <si>
    <t>代價傷害20- 狩人等級×2，行動點數10</t>
  </si>
  <si>
    <t>在弓傷害處理結束前變更攻擊對象，防禦側不能宣言防守特技。 
一次戰鬥只能使用一次、對複數對象的攻擊無效。</t>
  </si>
  <si>
    <t>進攻／射擊</t>
  </si>
  <si>
    <t>代價傷害6× 對象數</t>
  </si>
  <si>
    <t>和弓組合使用，最多可以同時攻擊《體力》個對象；每額外攻擊一個對象你的命中受到-１懲罰。 
不能和相擊箭組合使用。</t>
  </si>
  <si>
    <t>通常</t>
  </si>
  <si>
    <t>等同待機延遲的代價傷害</t>
  </si>
  <si>
    <t>弓每追加４點待機延遲，傷害就增加１Ｄ６。
使用技能後，你的行動順成為最後。 
這期間進行反擊的話受到命中-４和傷害減半的懲罰。 
一戰鬥最多使用２回、不能和其他技巧併用。</t>
  </si>
  <si>
    <t>代價傷害６</t>
  </si>
  <si>
    <t>★特技數目點</t>
  </si>
  <si>
    <t>〈弓掌握〉的待機延遲決定後《１+持有的★特技數目》點並命中+１。
被偷襲的回合你可以進行一回反擊。 
一戰鬥最多使用兩次、不能和其他技巧併用。</t>
  </si>
  <si>
    <t>和弓組合使用。
此次攻擊無法在命中階段被宣言《中斷》或《掩護》，但是只能攻擊敵方的［後排］。
一戰鬥最多使用2回、不能和其他技巧併用 
戰鬥外進行隱密攻擊時，加入這個技巧能夠得到隱密+【持有的★特技數目x2】的效果（一場景1回）。</t>
  </si>
  <si>
    <t>代價傷害15</t>
  </si>
  <si>
    <t>超能力者、古神道、風水士級別</t>
  </si>
  <si>
    <t>製作一支破魔箭。效果參照道具頁。</t>
  </si>
  <si>
    <t>代價傷害30</t>
  </si>
  <si>
    <t>拋射技巧、強弓技巧、狩人等級6以上</t>
  </si>
  <si>
    <t>使〈拋射技巧〉和〈強弓技巧〉能夠組合使用。 
拋射技巧的攻擊對象限制解除，並追加不能宣言《防守》特技；
強弓技巧敘述改成攻擊後，結束階段才進行命中處理。 
該攻擊即使使用者行動不能仍需進行攻擊處理； 一戰鬥最多使用１回。 
戰鬥外進行隱密攻擊時，和被動側的對抗自動勝出，但戰鬥外使用這特技的代價加倍（包含無盡破壞）。</t>
  </si>
  <si>
    <t>弓待機+4的回數*15代價傷害</t>
  </si>
  <si>
    <t>強弓技巧、速射技巧、狩人等級6以上</t>
  </si>
  <si>
    <t>使〈強弓技巧〉和〈速射技巧〉能夠組合使用。 
強弓技巧的回合最後攻擊限制解除；速射技巧的命中+１改成，弓每+４待機延遲就額外+１命中。 
一戰鬥最多使用１回。</t>
  </si>
  <si>
    <t>常時</t>
  </si>
  <si>
    <t>狩人等級7以上</t>
  </si>
  <si>
    <t>〈相擊箭〉、〈落星〉、〈穿月〉任一追加下面的效果。 
●相擊箭：可能使用的箭矢數目+1；英靈設定無盡破壞時額外+1。 
●落星：可設成無盡破壞，無盡破壞時命中流程略過直接成功。 
●穿月：可設成無盡破壞，無盡破壞時忽略防禦側所持所有防禦效果。 
※三種效果不能共存或疊加。</t>
  </si>
  <si>
    <t xml:space="preserve"> 劇本開始時持有手槍。一劇本最多得到【１】+［狩人等級／２］回支援。 
新劇本開始時可以取得未持有的一種槍械，要再取得其他槍械時消耗1回支援。</t>
  </si>
  <si>
    <t>桿式步槍或突擊步槍擇一掌握；狩人等級6以上或以上兩者皆掌握時狙擊槍掌握可能。 
這特技能夠重複取得。</t>
  </si>
  <si>
    <t>隱密通路【】內的值+２、所有槍械情緒獎勵+２。 
劇本開始時取得任意一種槍械或一單位的特殊子彈。 
這特技不能取得魔術師聯動的特殊子彈。</t>
  </si>
  <si>
    <t>常時／準備階段</t>
  </si>
  <si>
    <t>你得到［狩人等級×１］點的EN和上限，可以用來取得槍械用的彈藥；消耗一回隱密通路支援可以補滿EN但不能超過上限。 
準備階段使用，一回合內都有彈藥效果。戰鬥外使用，只有下一次攻擊有彈藥效果。 
取得〈槍械名人〉後，你初期的EN和上限改成［狩人等級×２］計算。</t>
  </si>
  <si>
    <t>通常／準備階段</t>
  </si>
  <si>
    <t>隱密通路1回</t>
  </si>
  <si>
    <t>下列效果擇一持續到場景終了。 
消音器：命中-３，狙擊或偷襲時隱密+【３】、獎勵依次遞減１。 
消燄器：狙擊或偷襲時隱密+【２】、夜晚額外+【２】，獎勵依次遞減１。 
雷射瞄準：射擊命中+【２】。 
測距儀：射擊命中+【１】，命中判定達成值不會因其他因素減少。 
戰術腳架：〈狙擊〉、〈長距離射擊〉命中+【２】、會心-【０】；次回合逃跑懲罰+５。 
取得〈槍械名人〉後，本特技【】內的值+１。</t>
  </si>
  <si>
    <t>隱密通路、戰術配件</t>
  </si>
  <si>
    <t>永久強化持有的一種槍械，下列效果擇一，狙擊槍不可改造。 
槍體改造：戰術配件可以擇二效果、強化彈使用可能。手槍需要付出兩次代價。 
狙擊改裝：對不同區域命中+２、對同區域命中-２，〈狙擊〉使用可能化。 
彈夾改造：一戰鬥只有1回，行動因狩人特技代價變成０時，行動增加２Ｄ６點。 
輕化改裝：突擊步槍專用，口徑縮小、移除行動懲罰，雙持可能化。 
在擁有的【１】個改造效果消失前你不能再使用此特技。 
取得〈槍械名人〉後，本特技【】內的值+１、追加火控元件改造選擇。 
火控元件：將行動點數-10時，攻擊可以進行2回，行動懲罰+１２；桿式步槍不可改造。</t>
  </si>
  <si>
    <t>代價傷害10</t>
  </si>
  <si>
    <t>魔術師級別</t>
  </si>
  <si>
    <t>消耗3點EN，戰鬥中這回合、戰鬥外下一輪攻擊，槍械傷害增加［你任意一項屬性］值，此傷害轉換成該屬性。 
槍械的攻擊不能由這個特技以外的效果得到屬性。</t>
  </si>
  <si>
    <t>代價傷害25</t>
  </si>
  <si>
    <t>魔術師級別、製作：魔術彈</t>
  </si>
  <si>
    <t xml:space="preserve">和〈製作：魔術彈〉一起使用。
製造一顆相當於【你選擇的《屬性值》】點的屬性子彈，命中成功後依照條件追加效果。 
子彈屬性點大於對方最大屬性：防禦側在【《１》+［防禦側的魔術師級別／３（無條件進位）］】回合內TP不可使用。 
防禦側待機延遲狀態：額外造成［子彈屬性點 × 對方最大屬性］Ｄ６傷害。 </t>
  </si>
  <si>
    <t>－</t>
  </si>
  <si>
    <t>這次攻擊無法會心；不能和其他分類：進攻的特技組合使用。 
命中後，戰鬥終了前命中+３；反之下回攻擊命中+《狩人等級》。 
一場景一戰鬥１次。</t>
  </si>
  <si>
    <t>代價傷害6</t>
  </si>
  <si>
    <t>戰鬥外進行的攻擊得到隱密+《５》，該場景初次攻擊時隱密額外+５。 
可以和其他進攻特技組合，但戰鬥外進行的攻擊延遲１回合。 
聯動效果〈破甲〉、不良狀態『鎖定』
對被〈破甲一擊〉或〈鎖定〉的對象會心-１、造成會心傷害的話情緒值+４。</t>
  </si>
  <si>
    <t>和槍械組合使用，可以越過掩體或掩護的角色攻擊。 
初次受到這攻擊的角色迴避-４、之後-２。
可以和其他進攻的特技組合，戰鬥外進行的攻擊延遲１回合。
長距離射擊或狙擊時即使沒看到敵人也可以依照位置情報用這個特技攻擊。</t>
  </si>
  <si>
    <t>代價傷害4</t>
  </si>
  <si>
    <t>突擊步槍掌握</t>
  </si>
  <si>
    <t>只能搭配突擊步槍使用。命中-４，攻擊任意一區域所有對象。 
主要動作結束後進入【行動完成狀態】。
次回合跳過使用者的行動擲骰和主要階段。 
取得〈雙持〉後，命中擲骰可以進行兩回，各自進行傷害處理。
必須持有兩把進行輕化改造的突擊步槍。</t>
  </si>
  <si>
    <t>槍械名人或三種槍系掌握</t>
  </si>
  <si>
    <t>可以同時持有兩把手槍或突擊步槍戰鬥。 
主要階段可以在攻擊時同時追加１回獨立命中判定的攻擊，該攻擊不能組合進攻特技且傷害減半。 
防禦側只進行一回判定，使用火力全開時追加攻擊取消改為依照火力全開敘述處理。 
戰鬥外進行攻擊時，持有雙持特技可以連續兩回合攻擊後才進行兩回合攻擊間隔。
不能使用〈雙持〉進行〈長距離射擊〉。</t>
  </si>
  <si>
    <t>代價傷害35</t>
  </si>
  <si>
    <t xml:space="preserve">槍械名人、彈道計算、鶚之眼 </t>
  </si>
  <si>
    <t>一劇本1回。 
下回合你最多三個傷害無條件視為會心傷害處理，沒有生效的次數回合終了時破棄。 
這個特技取得的同時會使你一個無盡破壞的位置消滅(不可登錄)。</t>
  </si>
  <si>
    <t xml:space="preserve">這特技能夠重覆取得升級：你的傷害+【１】、會心傷害+【１Ｄ６】。 
對非人體結構相近的對象，弱點察知的難度+３，並且人體理解追加的會心傷害降2個等級(不倒扣處理)。 </t>
  </si>
  <si>
    <t>代價傷害15-人體理解等級</t>
  </si>
  <si>
    <t>回復自己或其他角色〈人體理解〉等級×５點的生命。 
人體理解等級三以上時追加解除一個不良狀態的效果。 
戰鬥中使用代價傷害+10。</t>
  </si>
  <si>
    <t>隱密通路、人體理解</t>
  </si>
  <si>
    <t>得到一個醫療物資。</t>
  </si>
  <si>
    <t>隱密通路3回</t>
  </si>
  <si>
    <t>人體理解等級*5</t>
  </si>
  <si>
    <t>人體理解等級三以上、應急處置</t>
  </si>
  <si>
    <t>對自己以外的角色進行正式治療，移除上限傷害並回復最大生命的一半。</t>
  </si>
  <si>
    <t>代價傷害10 - 人體理解等級</t>
  </si>
  <si>
    <t>進行一個難度９的知覺檢定，成功的話下一次傷害視為會心處理。 
消耗１０點行動或戰鬥外攻擊延遲１回合的話達成值可以+５。
對你給予不良狀態＜鎖定＞的對象達成值可以+３。 
取得〈鶚之眼〉之後，支付兩倍代價可以作為中斷特技使用。</t>
  </si>
  <si>
    <t>代價傷害15、行動點數10</t>
  </si>
  <si>
    <t>人體理解、弱點察知</t>
  </si>
  <si>
    <t>〈弱點察知〉的達成值+〈人體理解〉等級點。 
達成值高於難度１０以上時，傷害將無視防禦點。 
每持有〈思考的並列計算〉或〈完全解析〉其中一項特技，技能的代價皆-５。</t>
  </si>
  <si>
    <t>〈弱點察知〉的難度+［１０+ 防禦側的防禦點］。
這個檢定不受任何自動成功效果影響。 
成功後省略傷害擲骰和處理流程，造成對象最大生命［50 - 防禦點］%等值傷害。</t>
  </si>
  <si>
    <t>這特技能夠重覆取得升級：你的行動力+【１】。
戰鬥外的移動類判定+【１】（包括逃跑或擺脫追擊、追蹤）。
戰鬥時新的單位登場及從場內、場外出奇不意的行為，我方所有人在你的警示下得到該回合對抗+【１】獎勵。 
戰場掌握等級４以上一戰鬥１回，無視原本的行動序由你優先行動，等級６以上一劇本１回連與你同行的角色也有效果。 
每持有〈思考的並列計算〉、〈完全解析〉 其中一項特技，【】內的值額外+１。</t>
  </si>
  <si>
    <t>2（生效時獲得）</t>
  </si>
  <si>
    <t xml:space="preserve">你的位置在己方後衛或射擊敵方後衛時有效；命中和傷害增加戰場掌握等級點。 
同時符合兩項條件的話能夠得到兩倍效果，戰鬥外的隱密攻擊視為同時符合兩項條件。 </t>
  </si>
  <si>
    <t>代價傷害10-戰場掌握等級</t>
  </si>
  <si>
    <t>狩人之眼、狩人等級三以上</t>
  </si>
  <si>
    <t>射擊命中+１Ｄ６。
可以試圖射擊攻擊進行逃跑的敵人。此攻擊不組合進攻的特技，不能進行待機。 
攻擊逃跑的敵人時，防禦側不取消逃跑行動就不能進行迴避行動，但這次攻擊無論是否造成傷害不影響逃跑結果。 
鶚之眼取得時此特技取得條件的狩人等級+２。</t>
  </si>
  <si>
    <t>射擊傷害骰其中【１】個不骰結果取６；傷害發生會心時【】內的值+１。 
鷹之眼取得時此特技取得條件的狩人等級+２。</t>
  </si>
  <si>
    <t>準備</t>
  </si>
  <si>
    <t>代價傷害18 - 戰場掌握等級*3</t>
  </si>
  <si>
    <t>使用後角色移動到後衛區域。使用這特技後即使己方無前衛角色也視為後衛位置。 
一戰鬥最多［戰場掌握等級］回使用。 
取得〈完全空間掌握〉後，追加傷害代價12的話可以視為中斷的特技並迴避近戰攻擊。</t>
  </si>
  <si>
    <t>下回合行動點為0</t>
  </si>
  <si>
    <t>戰場掌握2</t>
  </si>
  <si>
    <t>命中成功後效果，這次傷害變成0。 
直到回合結束或是你進行其他行動（包括迴避）為止，防禦側命中和迴避-２。 
防禦側受到其他人傷害視為會心傷害，並套用你的人體理解獎勵。 
持有〈雙持〉的時候，這特技的命中、迴避減值和情緒獎勵都成為兩倍。</t>
  </si>
  <si>
    <t>代價傷害20</t>
  </si>
  <si>
    <t>戰場掌握2以上，制壓射擊</t>
  </si>
  <si>
    <t>決定使用的攻擊類型後，跳過你的行動擲骰或主要階段，之後你可以在下列時機攻擊。 
1. 有角色進入待機狀態時。 
2. 其他角色宣言攻擊時：對象不取消攻擊的話，不能進行迴避。 
持有〈速射技巧〉和 〈強弓技巧〉的話，可以組合〈強弓技巧〉和待機，但傷害減半。</t>
  </si>
  <si>
    <t>代價傷害15、行動點10</t>
  </si>
  <si>
    <t>鷹之眼或鶚之眼或戰場掌握二以上</t>
  </si>
  <si>
    <t xml:space="preserve"> 一劇本最多使用［狩人等級］回。 
下輪射擊攻擊命中擲骰擲兩次取其高，並會心-１。 
每持有〈思考的並列計算〉、〈完全解析〉 其中一項特技，代價各-5、使用回數+1。</t>
  </si>
  <si>
    <t>完全空間掌握或戰場掌握四以上</t>
  </si>
  <si>
    <t>可以看到其他場景的活動狀況和鎖定無掩體的角色。 
支付一次代償最多可以維持狩人等級x３分鐘。 
持有〈魔術師〉、〈超能力者〉、〈異端〉的話，可以對觀察場景的角色使用攻擊類型以外的特技。</t>
  </si>
  <si>
    <t>狩人等級五以上或狙擊槍掌握</t>
  </si>
  <si>
    <t>一劇本最多［狩人等級］回使用。 
於制高點狙擊和你處於不同區域的角色，但必須符合下列條件任一。 
1. 持有千里眼或鷹之眼並直接捕捉無掩體下的目標位置。 
2. 持有完全空間掌握然後以任何形式確認目標在該區域的位置。 
該場景或戰鬥中第一次被這個特技攻擊時視為偷襲，偷襲時傷害處理結束前，所有角色不能宣言中斷和防守特技。 
槍械裡只有狙擊槍能夠適用此特技。</t>
  </si>
  <si>
    <t>劍士</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</si>
  <si>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</si>
  <si>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</si>
  <si>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得到「段位」、「流派」。</t>
  </si>
  <si>
    <t>等級上升之時、選取一個喜歡的特技。每逢５等、１０等時，可以額外再取得一個特技。</t>
  </si>
  <si>
    <r>
      <rPr>
        <rFont val="MingLiU"/>
        <color rgb="FF000000"/>
        <sz val="10.0"/>
      </rPr>
      <t>一般特技</t>
    </r>
    <r>
      <rPr>
        <rFont val="Arial"/>
        <color rgb="FF000000"/>
        <sz val="10.0"/>
      </rPr>
      <t xml:space="preserve"> </t>
    </r>
    <r>
      <rPr>
        <rFont val="細明體"/>
        <color rgb="FF000000"/>
        <sz val="10.0"/>
      </rPr>
      <t>▲</t>
    </r>
  </si>
  <si>
    <t>段位</t>
  </si>
  <si>
    <t>你身為劍士的段位資格，會隨著同一流派相關技能數而改變。 
一到二：切紙 
三到四：目錄
五到六：印可
七到八：大目錄
九以上：免許皆傳。
此技能本身不算在相關技能數。</t>
  </si>
  <si>
    <t>流派</t>
  </si>
  <si>
    <t>從以下流派中擇一入門，此特技可重複取得。此技能計算在相關技能數。 
二天一流：
　　你獲得技能■二天一流。
一刀流：
　　你獲得技能■一刀流。
秀綱流居合術：
　　你獲得技能■秀綱流。</t>
  </si>
  <si>
    <t>二天一流</t>
  </si>
  <si>
    <t xml:space="preserve">攻擊類型／近戰 </t>
  </si>
  <si>
    <t>使用大小太刀的攻擊。指定一對象造成２Ｄ６傷害，並可宣言任一架式。〈上段〉本次傷害追加１Ｄ６。〈下段〉本次命中達成值追加２。</t>
  </si>
  <si>
    <t>一刀流</t>
  </si>
  <si>
    <t>使用中、或是小太刀進行攻擊。指定一對象造成２Ｄ６＋４傷害，並可宣言任一架式。〈背車刀〉本次命中追加１。〈切落〉你切換到待機狀態，並且可反擊任何攻擊，若是反擊時的命中值高於對手命中，跳過雙方傷害階段直接結束，此架式進行完後你不會進入已行動狀態。</t>
  </si>
  <si>
    <t>秀綱流</t>
  </si>
  <si>
    <t>使用居合刀進行的攻擊。指定一對象造成１Ｄ６傷害。並可宣言任一架式。〈跪座〉待機延遲４，本次攻擊傷害追加２Ｄ６，你與對方皆無法宣言反擊。〈站姿〉本次命中值追加３。</t>
  </si>
  <si>
    <t>圓極</t>
  </si>
  <si>
    <r>
      <rPr>
        <rFont val="MingLiU"/>
        <color rgb="FF000000"/>
        <sz val="10.0"/>
      </rPr>
      <t>代價傷害</t>
    </r>
    <r>
      <rPr>
        <rFont val="Arial"/>
        <color rgb="FF000000"/>
        <sz val="10.0"/>
      </rPr>
      <t xml:space="preserve">5 </t>
    </r>
  </si>
  <si>
    <r>
      <rPr>
        <rFont val="MingLiU"/>
        <color rgb="FF000000"/>
        <sz val="10.0"/>
      </rPr>
      <t>段位‧切紙、流派──二天一流。</t>
    </r>
    <r>
      <rPr>
        <rFont val="Arial"/>
        <color rgb="FF000000"/>
        <sz val="10.0"/>
      </rPr>
      <t xml:space="preserve"> </t>
    </r>
  </si>
  <si>
    <t>二刀流的起手架式。回合終了為止你的命中達成值＋２，防禦值＋２。</t>
  </si>
  <si>
    <t>左右反打</t>
  </si>
  <si>
    <t xml:space="preserve">防禦 </t>
  </si>
  <si>
    <t xml:space="preserve">段位‧切紙、流派──二天一流 </t>
  </si>
  <si>
    <t>你可針對朝你發出的攻擊進行以下宣言：〈左反打〉對手此次攻擊的傷害與命中＋２，在你被攻擊或是迴避之後，你可以無視行動狀態，以對手為對象進行攻擊，此次攻擊命中＋４。〈右反打〉對手此次攻擊的傷害與命中＋４，在你被攻擊或是迴避之後，你可以無視行動狀態，以對手為對象進行攻擊，此次攻擊傷害＋２Ｄ６。</t>
  </si>
  <si>
    <t>陰陽雙舞</t>
  </si>
  <si>
    <t xml:space="preserve">進攻／近戰 </t>
  </si>
  <si>
    <t xml:space="preserve">段位‧目錄、流派──二天一流 </t>
  </si>
  <si>
    <t>二天一流的招式變化，你可以進行以下宣言：〈陽舞〉以大太刀為主，本次傷害追加１Ｄ６。〈陰舞〉以小太刀為主，本次命中達成值＋３。</t>
  </si>
  <si>
    <t>紅葉疊舞</t>
  </si>
  <si>
    <t xml:space="preserve">代價傷害3 </t>
  </si>
  <si>
    <t>對手迴避攻擊之後，你可以命中達成值－６再次進行攻擊。此技能一回合只能使用一次。</t>
  </si>
  <si>
    <t>組太刀</t>
  </si>
  <si>
    <t xml:space="preserve">代價傷害5 </t>
  </si>
  <si>
    <t xml:space="preserve">段位‧印可、流派──二天一流 </t>
  </si>
  <si>
    <t>二天一流的起手架式變化。回合終了為止你可以對朝你而來攻擊進行兩次迴避。</t>
  </si>
  <si>
    <t>二刀八相</t>
  </si>
  <si>
    <t>宮本武藏創造的架式。你的二天一流敘述文追加「本次攻擊你額外進行兩回命中擲骰，每成功一次傷害追加１Ｄ６」。</t>
  </si>
  <si>
    <t>轉變落打</t>
  </si>
  <si>
    <t xml:space="preserve">段位‧大目錄、流派──二天一流 </t>
  </si>
  <si>
    <t>當你受到來自同區域的傷害後，你可以無視行動狀態，以對手為對象進行攻擊，第一次承受這技能造成反擊的對手無法迴避，第二次以後須受到迴避達成值－４的懲罰。</t>
  </si>
  <si>
    <t>觀見</t>
  </si>
  <si>
    <t>你手上有大小太刀時，防禦點＋２。</t>
  </si>
  <si>
    <t>本覺</t>
  </si>
  <si>
    <t xml:space="preserve">段位‧切紙、流派──一刀流 </t>
  </si>
  <si>
    <t>一刀流的起手架式。回合終了為止你的防禦值＋１，使用〈切落〉時，命中值＋１。</t>
  </si>
  <si>
    <t>八相陰劍</t>
  </si>
  <si>
    <t xml:space="preserve">代價傷害8+N </t>
  </si>
  <si>
    <t>一刀流的起手架式變化。回合終了為止你的命中＋２，傷害增加１Ｄ６，攻擊無視Ｎ－５以下防禦值。</t>
  </si>
  <si>
    <t>圓流</t>
  </si>
  <si>
    <t xml:space="preserve">段位‧目錄、流派──一刀流 </t>
  </si>
  <si>
    <t>以像是畫圓般的動作承受對手的攻擊，防禦值＋２。</t>
  </si>
  <si>
    <t>飛鳥</t>
  </si>
  <si>
    <t>代價傷害2</t>
  </si>
  <si>
    <t>跳躍切砍的劍技，傷害追加１Ｄ６，另外，攻擊後你可以無視阻礙，移動到其他區域。</t>
  </si>
  <si>
    <t>霞青眼</t>
  </si>
  <si>
    <t xml:space="preserve">段位‧印可、流派──一刀流 </t>
  </si>
  <si>
    <t>你的架式〈切落〉敘述文新增「本次攻擊你的命中達成值＋２」。</t>
  </si>
  <si>
    <t>真劍</t>
  </si>
  <si>
    <t>你手上拿的是真刀時，傷害額外增加４。</t>
  </si>
  <si>
    <t>松風</t>
  </si>
  <si>
    <t xml:space="preserve">通常 </t>
  </si>
  <si>
    <t xml:space="preserve">代價傷害2 </t>
  </si>
  <si>
    <t xml:space="preserve">段位‧大目錄、流派──一刀流、霞青眼 </t>
  </si>
  <si>
    <t>你的架式〈切落〉敘述文新增「本次攻擊成功後，你的行動點＋２」。</t>
  </si>
  <si>
    <t>葉切</t>
  </si>
  <si>
    <t xml:space="preserve">代價傷害10 </t>
  </si>
  <si>
    <t xml:space="preserve">段位‧大目錄、流派──一刀流、飛鳥 </t>
  </si>
  <si>
    <t>你的技能〈飛鳥〉敘述文新增「本次攻擊你的命中達成值＋３，實際傷害＋３」。</t>
  </si>
  <si>
    <t>納刀</t>
  </si>
  <si>
    <t xml:space="preserve">段位‧切紙、流派──秀綱流 </t>
  </si>
  <si>
    <t>秀綱流的起手架式，你得把刀子收起來才可以拔。回合終了為止你的流派──秀綱流技能命中會心－１。</t>
  </si>
  <si>
    <t>秀綱流居合一本目「始」</t>
  </si>
  <si>
    <t>秀綱流拔刀術，以電光石火速度拔刀斬向敵人，只能搭配秀綱流技能使用。本次攻擊傷害增加〔你減去對手的行動點〕。傷害限制：
〈切紙〉最大上限傷害４
〈目錄〉技能名稱改為「始」１／２拍子，最大上限傷害８
〈印可〉技能名稱改為「始」１／４拍子，最大上限傷害１２
〈大目錄〉技能名稱改為「始」１／１６拍子，最大上限傷害２０
〈免許皆傳〉技能名稱改為「始」１／３２拍子，無最大上限傷害。</t>
  </si>
  <si>
    <t>秀綱流居合二本目「無鞘拔刀」</t>
  </si>
  <si>
    <t xml:space="preserve">段位‧目錄、流派──秀綱流 </t>
  </si>
  <si>
    <t>你手上的武器不是刀，而是其他諸如竹刀、鐵管之類的非利刃物品時，可以無視傷害懲罰使用秀綱流。使用後該物品損毀。</t>
  </si>
  <si>
    <t>車返</t>
  </si>
  <si>
    <t>對手是空手攻擊時才能使用。你的迴避達成值＋２，成功迴避的話，你可以無視行動狀態，以２Ｄ６傷害的打砍進行一次攻擊，此次攻擊不得附加其他進攻特技。</t>
  </si>
  <si>
    <t>秀綱流居合三本目「玉廉」</t>
  </si>
  <si>
    <t xml:space="preserve">段位‧印可、流派──秀綱流 </t>
  </si>
  <si>
    <t>你的秀綱流可同時以同區域兩人為對象進行攻擊，位於左邊敵人受到的實際傷害會減半。</t>
  </si>
  <si>
    <t>秀綱流居合四本目「釜蓋朔日」</t>
  </si>
  <si>
    <t>配合秀綱流一本目，拔刀時甩出劍鞘進行長度補正的遠距離攻擊。你的本次攻擊成為全區域射程。但是要記住劍鞘甩出去不會自己飛回來。</t>
  </si>
  <si>
    <t>秀綱流居合五本目「斬鐵」</t>
  </si>
  <si>
    <t xml:space="preserve">段位‧大目錄、流派──秀綱流 </t>
  </si>
  <si>
    <t>你的技能〈秀綱流居合一本目「始」〉敘述文新增「通過一個難易度１５的精神判定，你本次的傷害追加此判定數值，失敗的話本次傷害減去此數值。當你段位達到免許皆傳時，可改以額外兩倍支付代價傷害代替判定」。</t>
  </si>
  <si>
    <t>秀綱流居合六本目「銜草」</t>
  </si>
  <si>
    <t>以真刀刀柄強行阻擋對方的攻擊。抵銷一次空手以外的近戰攻擊，使用後武器損毀。</t>
  </si>
  <si>
    <r>
      <rPr>
        <rFont val="MingLiU"/>
        <color rgb="FF000000"/>
        <sz val="10.0"/>
      </rPr>
      <t>額外特技</t>
    </r>
    <r>
      <rPr>
        <rFont val="Arial"/>
        <color rgb="FF000000"/>
        <sz val="10.0"/>
      </rPr>
      <t xml:space="preserve"> </t>
    </r>
    <r>
      <rPr>
        <rFont val="細明體"/>
        <color rgb="FF000000"/>
        <sz val="10.0"/>
      </rPr>
      <t>▲</t>
    </r>
  </si>
  <si>
    <t>五輪太刀</t>
  </si>
  <si>
    <t xml:space="preserve">段位‧免許皆傳、流派──二天一流 </t>
  </si>
  <si>
    <t>你手上有大小太刀時，傷害增加２Ｄ６，攻擊範圍可包含相鄰區域。並得到以下架式：
〈地太刀〉你可以付出２０點行動點使本次攻擊的命中值＋〔你的劍士等級〕。
〈火太刀〉你可以付出２０點行動點使本次攻擊的實際傷害成為兩倍。
〈風太刀〉你可以付出２０點行動點使本次攻擊射程成為全區域。
〈水太刀〉你可以付出２０點行動點進行兩次攻擊。
〈空太刀〉你可以付出２０點行動點，反擊即使不以你為對象的技能。此次行動完你不會進入已行動狀態。</t>
  </si>
  <si>
    <t>奧義‧一吋劍理</t>
  </si>
  <si>
    <t xml:space="preserve">代價傷害30 </t>
  </si>
  <si>
    <t>指定一名對手，從該對手而來的攻擊到戰鬥結束前你獲得【你劍士等級】的防禦值修正，這效果無法對同樣的對手疊加。可以對不同角色複數使用。</t>
  </si>
  <si>
    <t>金翅烏王劍</t>
  </si>
  <si>
    <t xml:space="preserve">代價傷害25 </t>
  </si>
  <si>
    <t xml:space="preserve">段位‧免許皆傳、流派──一刀流、葉切 </t>
  </si>
  <si>
    <t>以飛鳥為底，發展到最終形式的一刀流劍技，此次傷害追加《３》Ｄ６＋《３》，命中達成值＋《３》。另外，攻擊後你可以無視阻礙移動。</t>
  </si>
  <si>
    <t>奧義‧夢想劍</t>
  </si>
  <si>
    <t xml:space="preserve">代價傷害50 </t>
  </si>
  <si>
    <t xml:space="preserve">段位‧免許皆傳、流派──一刀流 </t>
  </si>
  <si>
    <t>你的傷害追加《你的劍士等級》Ｄ６，攻擊射程成為全區域。獲得此技能後不需支付代價也有常時效果──你不會被〔你的劍士等級〕以下的角色奇襲成功，即便你在睡覺中遇襲，身體也能自動擺出架式應戰。你在準備階段能夠使用所有的一刀流起手架式效果。</t>
  </si>
  <si>
    <t>秀綱流居合七本目「氣圓」</t>
  </si>
  <si>
    <t xml:space="preserve">段位‧免許皆傳、流派──秀綱流 </t>
  </si>
  <si>
    <t>當你行動點在２０以上的時候，技能〈秀綱流居合一本目「始」〉攻擊射程成為全區域。</t>
  </si>
  <si>
    <t>秀綱流奧義‧無拍子</t>
  </si>
  <si>
    <t>通過一個難易度１７的精神判定與難易度２０的行動判定，本次攻擊命中以會心計算，傷害追加《你的劍士等級》。精神判定可以兩倍代價傷害支付，行動判定可以行動點支付。獲得此技能後擁有以下常時效果──你的【行動】、【精神】常時＋３。此技能一劇本限用兩回。</t>
  </si>
  <si>
    <t>狩獵者</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</si>
  <si>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</si>
  <si>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</si>
  <si>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得到「人外血脈」，然後再選擇一個自己喜歡的特技。</t>
  </si>
  <si>
    <t>一般特技 ▲</t>
  </si>
  <si>
    <t>人外血脈──死徒</t>
  </si>
  <si>
    <t xml:space="preserve">你獲得以下常時
► 最大生命常時增加２０，概念武裝與上限傷害以外的攻擊造成實際傷害減輕五分之一。
► 你無法從自己的技能 (包含效果)或是感情獲得，必須透過吸食人血獲得。每徹底吸食（殺死）一個人，ＨＰ與ＴＰ恢復１０Ｄ６，劇本進行中每天至少需吸食［你的狩獵者等級］次人血（不殺人可，但是不會獲得ＨＰ或ＴＰ補充）。
► 每減少一次，當日結束前獲得［減少次數］Ｄ６的ＨＰ與ＴＰ傷害。
你的戰鬥能力會受到ＴＰ現存值影響：
► ０：你失去一切近戰射擊精神行動的級別加成，受到－５的行為判定修正，傷害減少２Ｄ６，失去實際傷害減免效果。 
► １～３０：戰鬥中你受到－３的行為判定修正，傷害減少１Ｄ６，失去實際傷害減免效果。
► ３１～５０：無。
► ５１～７０：戰鬥中你得到＋３的行為判定修正。
► ７１～９９：戰鬥中你得到＋３的行為判定修正，防禦值上升３，傷害追加２Ｄ６。
► １００以上：戰鬥中你得到＋５的行為判定修正，防禦值上升５，傷害追加３Ｄ６。
</t>
  </si>
  <si>
    <t>人外血脈──鬼種</t>
  </si>
  <si>
    <t>你獲得以下常時
► 劇本開始時集中力增加［你的狩獵者級別Ｘ１０］，每使用一次鬼種技能時，需接受難易度［你的狩獵者級別Ｘ３］的反轉衝動判定，此判定可選擇精神或是體力判定，或是支付同等代價傷害代替判定。
► 放棄判定，或是失敗的場合，你進入反轉衝動狀態。
反轉衝動：
► 你所有狩獵者技能（包含空手）的傷害增加８點，你失去防禦點。
► 戰鬥中你受到＋３的行為判定修正，每回合結束時恢復［你的狩獵者級別Ｘ５］的ＴＰ。
► 你會不顧一切與場景內所有角色戰鬥，直至你成為行動不能狀態，或是對方全部死亡。
► 每回合結束時可以接受難易度［你的狩獵者級別Ｘ３（最低為９）］的解除反轉衝動判定，此次判定不能以支付代價傷害代替。</t>
  </si>
  <si>
    <t>人外血脈──被造物</t>
  </si>
  <si>
    <t>効果： 取得此技能後，無法取得其他〈人外血脈〉技能： 
你獲得以下常時狀態： 
► 從【近戰】跟【射擊】選擇一項增加（你的狩獵者級別），另一項減少（你的狩獵者級別）。 
► 從【生命力】跟【集中力】選擇一項增加（你的狩獵者級別*5），另一項減少（你的狩獵者級別*5）。</t>
  </si>
  <si>
    <t>殺戮之手</t>
  </si>
  <si>
    <r>
      <rPr>
        <rFont val="MingLiU"/>
        <color rgb="FF000000"/>
        <sz val="10.0"/>
      </rPr>
      <t>死徒</t>
    </r>
    <r>
      <rPr>
        <rFont val="Arial"/>
        <color rgb="FF000000"/>
        <sz val="10.0"/>
      </rPr>
      <t xml:space="preserve"> </t>
    </r>
  </si>
  <si>
    <t>指定對象一人，給予３Ｄ６傷害。</t>
  </si>
  <si>
    <t>獸爪</t>
  </si>
  <si>
    <r>
      <rPr>
        <rFont val="MingLiU"/>
        <color rgb="FF000000"/>
        <sz val="10.0"/>
      </rPr>
      <t>死徒</t>
    </r>
    <r>
      <rPr>
        <rFont val="Arial"/>
        <color rgb="FF000000"/>
        <sz val="10.0"/>
      </rPr>
      <t xml:space="preserve"> </t>
    </r>
  </si>
  <si>
    <t>指定對象一人，給予２Ｄ６＋【體力】傷害。</t>
  </si>
  <si>
    <t>獵犬之牙</t>
  </si>
  <si>
    <r>
      <rPr>
        <rFont val="MingLiU"/>
        <color rgb="FF000000"/>
        <sz val="10.0"/>
      </rPr>
      <t>死徒</t>
    </r>
    <r>
      <rPr>
        <rFont val="Arial"/>
        <color rgb="FF000000"/>
        <sz val="10.0"/>
      </rPr>
      <t xml:space="preserve"> </t>
    </r>
  </si>
  <si>
    <t>實傷後效果，你可以指定另一名對象再次攻擊，這個特技一回合只能使用一次。此特技發動的攻擊無法選擇一名以上的對象。第二個攻擊目標可以選擇相鄰區域的對象。</t>
  </si>
  <si>
    <t>力量破壞</t>
  </si>
  <si>
    <t xml:space="preserve">進攻類型／近戰 </t>
  </si>
  <si>
    <r>
      <rPr>
        <rFont val="MingLiU"/>
        <color rgb="FF000000"/>
        <sz val="10.0"/>
      </rPr>
      <t>代價傷害5</t>
    </r>
    <r>
      <rPr>
        <rFont val="Arial"/>
        <color rgb="FF000000"/>
        <sz val="10.0"/>
      </rPr>
      <t xml:space="preserve"> </t>
    </r>
  </si>
  <si>
    <r>
      <rPr>
        <rFont val="MingLiU"/>
        <color rgb="FF000000"/>
        <sz val="10.0"/>
      </rPr>
      <t>死徒</t>
    </r>
    <r>
      <rPr>
        <rFont val="Arial"/>
        <color rgb="FF000000"/>
        <sz val="10.0"/>
      </rPr>
      <t xml:space="preserve"> </t>
    </r>
  </si>
  <si>
    <t>你減少Ｎ點命中，傷害增加《Ｎ－１》Ｄ６。</t>
  </si>
  <si>
    <t>蓄氣</t>
  </si>
  <si>
    <r>
      <rPr>
        <rFont val="MingLiU"/>
        <color rgb="FF000000"/>
        <sz val="10.0"/>
      </rPr>
      <t>代價傷害5</t>
    </r>
    <r>
      <rPr>
        <rFont val="Arial"/>
        <color rgb="FF000000"/>
        <sz val="10.0"/>
      </rPr>
      <t xml:space="preserve"> </t>
    </r>
  </si>
  <si>
    <r>
      <rPr>
        <rFont val="MingLiU"/>
        <color rgb="FF000000"/>
        <sz val="10.0"/>
      </rPr>
      <t>死徒</t>
    </r>
    <r>
      <rPr>
        <rFont val="Arial"/>
        <color rgb="FF000000"/>
        <sz val="10.0"/>
      </rPr>
      <t xml:space="preserve"> </t>
    </r>
  </si>
  <si>
    <t>你的傷害增加＋《你的防禦點》</t>
  </si>
  <si>
    <t>生命吸收</t>
  </si>
  <si>
    <r>
      <rPr>
        <rFont val="MingLiU"/>
        <color rgb="FF000000"/>
        <sz val="10.0"/>
      </rPr>
      <t>死徒</t>
    </r>
    <r>
      <rPr>
        <rFont val="Arial"/>
        <color rgb="FF000000"/>
        <sz val="10.0"/>
      </rPr>
      <t xml:space="preserve"> </t>
    </r>
  </si>
  <si>
    <t>你給予其他角色實傷時，恢復該傷害三分之一的ＨＰ。</t>
  </si>
  <si>
    <t>鋼鐵之膚</t>
  </si>
  <si>
    <r>
      <rPr>
        <rFont val="MingLiU"/>
        <color rgb="FF000000"/>
        <sz val="10.0"/>
      </rPr>
      <t>死徒</t>
    </r>
    <r>
      <rPr>
        <rFont val="Arial"/>
        <color rgb="FF000000"/>
        <sz val="10.0"/>
      </rPr>
      <t xml:space="preserve"> </t>
    </r>
  </si>
  <si>
    <t>防禦點＋２</t>
  </si>
  <si>
    <t>自我再生</t>
  </si>
  <si>
    <r>
      <rPr>
        <rFont val="MingLiU"/>
        <color rgb="FF000000"/>
        <sz val="10.0"/>
      </rPr>
      <t>死徒</t>
    </r>
    <r>
      <rPr>
        <rFont val="Arial"/>
        <color rgb="FF000000"/>
        <sz val="10.0"/>
      </rPr>
      <t xml:space="preserve"> </t>
    </r>
  </si>
  <si>
    <t>以你為對象，每到結束階段恢復現存ＴＰ五分之一的ＨＰ。</t>
  </si>
  <si>
    <t>赤朱覺醒</t>
  </si>
  <si>
    <t xml:space="preserve">鬼種 </t>
  </si>
  <si>
    <t>回合終了前你進入奮起狀態。你所有屬性值＋《２》。</t>
  </si>
  <si>
    <t>檻髮</t>
  </si>
  <si>
    <t xml:space="preserve">攻撃類型／射擊 </t>
  </si>
  <si>
    <t>指定對象１人，給予２Ｄ６＋【知覺】傷害。</t>
  </si>
  <si>
    <t>血之魔劍</t>
  </si>
  <si>
    <t>指定對象１人，給予２Ｄ６傷害。防禦側有不良狀態【血之鎖】時，你的傷害額外增加３。受到這個實際傷害的對象，會得到不良狀態【血之鎖】。
【血之鎖】你的身體被些微的束縛，命中與迴避的行為判定達成值－１。</t>
  </si>
  <si>
    <t>灼夜鼓動</t>
  </si>
  <si>
    <t xml:space="preserve">進攻類型／共通 </t>
  </si>
  <si>
    <t>奮起狀態時產生效果。你的傷害增加《１Ｄ６》。</t>
  </si>
  <si>
    <t>異形之舞</t>
  </si>
  <si>
    <t>奮起狀態時產生效果。你可以對有不良狀態的敵人同時發動攻擊。</t>
  </si>
  <si>
    <t>糾纏</t>
  </si>
  <si>
    <t>你的攻擊產生實傷後附帶束縛效果。因這個技能得到不良狀態【束縛】的對象不能離開使用者(鬼種)所在的區域。</t>
  </si>
  <si>
    <t>麻痺</t>
  </si>
  <si>
    <t>你的攻擊產生實傷後附帶麻痺效果。</t>
  </si>
  <si>
    <t>毒噬</t>
  </si>
  <si>
    <t>你的攻擊產生實傷後附帶毒效果。</t>
  </si>
  <si>
    <r>
      <rPr>
        <rFont val="MingLiU"/>
        <color rgb="FF000000"/>
        <sz val="10.0"/>
      </rPr>
      <t>額外特技</t>
    </r>
    <r>
      <rPr>
        <rFont val="Arial"/>
        <color rgb="FF000000"/>
        <sz val="10.0"/>
      </rPr>
      <t xml:space="preserve"> </t>
    </r>
    <r>
      <rPr>
        <rFont val="細明體"/>
        <color rgb="FF000000"/>
        <sz val="10.0"/>
      </rPr>
      <t>▲</t>
    </r>
  </si>
  <si>
    <t>鬼人肉體</t>
  </si>
  <si>
    <t xml:space="preserve">狩獵者等級３以上 </t>
  </si>
  <si>
    <t>你受到的實際傷害在你的【體力】以下時變成０。但是對上限傷害無法發揮效果。</t>
  </si>
  <si>
    <t>死種創造</t>
  </si>
  <si>
    <t xml:space="preserve">狩獵者等級３以上、死徒 </t>
  </si>
  <si>
    <t>被你吸血而死的生命，會成為死者（詳見移動屍體）。被他們所殺死的人，視為你殺死可吸食，然而你無法讓死者產生死者。</t>
  </si>
  <si>
    <t>獸化</t>
  </si>
  <si>
    <t xml:space="preserve">狩獵者等級 ４以上、死徒 </t>
  </si>
  <si>
    <t>回合終了前你的近戰＋４，防禦＋４。</t>
  </si>
  <si>
    <t>橫掃之風</t>
  </si>
  <si>
    <t xml:space="preserve">狩獵者等級５以上、死徒 </t>
  </si>
  <si>
    <t>你的攻擊以同區域敵方全體為對象。</t>
  </si>
  <si>
    <t>番外序列</t>
  </si>
  <si>
    <t xml:space="preserve">狩獵者等級８以上、死徒、死種創造 </t>
  </si>
  <si>
    <t>實力已逼近２７祖的死徒獲得的稱號。你的基本四屬能力＋［你的狩獵者等級－７］，防禦值＋［你的狩獵者等級－７］，最大生命常時增加２０，ＴＰ上限成為１５０。</t>
  </si>
  <si>
    <t>我的牢籠</t>
  </si>
  <si>
    <t>代價傷害12</t>
  </si>
  <si>
    <t xml:space="preserve">狩獵者等級４以上、鬼種 </t>
  </si>
  <si>
    <t>與赤朱覺醒同時使用，赤朱覺醒的效果變成戰鬥終了為止。另外，同區域所有角色在變成「行動不能狀態」之前無法逃走。</t>
  </si>
  <si>
    <t>共融</t>
  </si>
  <si>
    <t>你可以將你的【生命力】任意賦予角色，付出的同時會減少同等生命上限。付出的生命可以隨時收回。</t>
  </si>
  <si>
    <t>掠奪</t>
  </si>
  <si>
    <t>你的檻髮與血之魔劍效果改為給予上限傷害。</t>
  </si>
  <si>
    <t>血印啟動</t>
  </si>
  <si>
    <t xml:space="preserve">狩獵者等級６以上、鬼種 </t>
  </si>
  <si>
    <t>你在激勵狀態時候效果。你的命中與傷害增加［現在回合數］點。這個數值的上限是你的［狩獵者等級］。你可以在攻擊中支付１０點代價傷害，額外給予對象［目前不良狀態數］Ｄ６傷害，實際傷害後對象不良狀態消失。</t>
  </si>
  <si>
    <t>搾取之檻</t>
  </si>
  <si>
    <t>此特技與我的牢籠同時使用。以你之外同區域所有角色為對象。對象在回合結束時受到《１Ｄ６＋［你的狩獵者等級］》點實際傷害，你回復同等份量的ＨＰ。這效果到戰鬥結束為止。</t>
  </si>
  <si>
    <t>魔術迴路‧改</t>
  </si>
  <si>
    <t>被造物</t>
  </si>
  <si>
    <t>取得此技能後，你即使沒有（魔術師）級別，也可以取得魔術師技能（狩獵者級別視同魔術師級別），但你之後無法取得魔術師級別。 
你無法取得魔術師級別的〈魔術迴路〉、〈魔術刻印〉。 
你的TP上限增加（狩獵者等級*10），每日結束時恢復最大值十分之一。 
你的HP上限減少（狩獵者等級*5）。 
你持有1屬性，屬性值等同於你的（狩獵者等級）。 
你在魔力感知的判定常時+2。 
使用魔術師技能時，你的達成值額外增加【精神】／4。 
你需要使用【意志】做情報判定時，達成值+《2》。</t>
  </si>
  <si>
    <t>機能特化‧力量</t>
  </si>
  <si>
    <t>你的傷害增加（狩獵者等級）D6。 
你的命中與迴避減少（狩獵者等級）。 
你增加（狩獵者等級*3）的額外機能HP，當你受到傷害時，必須從額外機能HP優先扣除。 
額外機能HP歸零時，此技能在劇本結束前無法發揮效用。</t>
  </si>
  <si>
    <t>機能特化‧耐久</t>
  </si>
  <si>
    <t>你增加（狩獵者等級*5）的額外機能HP。 
當決定行動時，你受到（狩獵者等級*5）的負修正。 
當你受到傷害時，必須從額外機能HP優先扣除。 
額外機能HP歸零時，此技能在劇本結束前無法發揮效用。</t>
  </si>
  <si>
    <t>機能特化‧速度</t>
  </si>
  <si>
    <t>你的命中與迴避增加（狩獵者等級）。 
你的傷害減少（狩獵者等級）D6。 
你增加（狩獵者等級）的額外機能HP。當你受到傷害時，必須從額外機能HP優先扣除。 
額外機能HP歸零時，此技能在劇本結束前無法發揮效用。</t>
  </si>
  <si>
    <t>人工才能‧攻擊類型</t>
  </si>
  <si>
    <t>你取得一個其他級別，非額外特技的（攻擊類型技能），但你之後無法取得該級別技能。 
技能內文使用級別等級時，以狩獵者級別等級代替。 
此技能可重複取得，但不可選擇選過的特技。</t>
  </si>
  <si>
    <t>人工才能‧進攻</t>
  </si>
  <si>
    <t>你取得一個其他級別，非額外特技的（進攻技能），但你之後無法取得該級別技能。 
技能內文使用級別等級時，以狩獵者級別等級代替。 
此技能可重複取得，但不可選擇選過的特技。</t>
  </si>
  <si>
    <t>人工才能‧防守</t>
  </si>
  <si>
    <t>你取得一個其他級別，非額外特技的（防禦技能），但你之後無法取得該級別技能。 
技能內文使用級別等級時，以狩獵者級別等級代替。 
此技能可重複取得，但不可選擇選過的特技。</t>
  </si>
  <si>
    <t>人工才能‧天賦</t>
  </si>
  <si>
    <t>你取得一個其他級別，非額外特技的（常時技能），但你之後無法取得該級別技能。 
技能內文使用級別等級時，以狩獵者級別等級代替。 
此技能可重複取得，但不可選擇選過的特技。</t>
  </si>
  <si>
    <t>魔術刻印‧改</t>
  </si>
  <si>
    <t>你的魔術使用代價輕減四分之一（包含待機延遲）。 
你的TP額外增加50點上限，每到準備階段，你會恢復［狩獵者等級*3］點TP。 
你的HP減少［狩獵者等級］點。</t>
  </si>
  <si>
    <t>機能爆發</t>
  </si>
  <si>
    <t>判定時使用，本次判定增加（狩獵者等級）。 
這個技能一個劇本只能使用（你的〈機能特化〉技能數量）次。</t>
  </si>
  <si>
    <t>機能特化‧武裝</t>
  </si>
  <si>
    <t>攻擊類型／特殊</t>
  </si>
  <si>
    <t>取得此技能時，你必須決定此攻擊類型是近戰或是遠戰。 
近戰：指定一對象，造成1D6 + （你的〈機能特化〉技能數量）傷害。 
遠戰：指定（你的〈機能特化〉技能數量）對象，造成1D6傷害。 
你增加（狩獵者等級）的額外機能HP。當你受到傷害時，必須從額外機能HP優先扣除。 
額外機能HP歸零時，此技能在劇本結束前無法發揮效用。</t>
  </si>
  <si>
    <t>人工才能‧全才</t>
  </si>
  <si>
    <t xml:space="preserve">你取得一個其他級別，非額外特技的的技能，但你之後無法取得該級別技能。 
技能內文使用級別等級時，以狩獵者級別等級代替。 </t>
  </si>
  <si>
    <t>人工起源</t>
  </si>
  <si>
    <t>你取得一個起源風格的效果。</t>
  </si>
  <si>
    <t>(級別)</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</si>
  <si>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</si>
  <si>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</si>
  <si>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選擇兩個自己喜歡的特技。</t>
  </si>
  <si>
    <t>代行者</t>
  </si>
  <si>
    <t>黑鍵持有</t>
  </si>
  <si>
    <t>劇本開始時，你得到［你的代行者等級Ｘ２］數量黑鍵。黑鍵具有１Ｄ６＋４傷害。並為概念武裝。但是無論拿來揮砍或是投擲，皆會因本體精煉度低而損毀。受到黑鍵傷害的對象，獲得不良狀態【復原詛咒無效化】。
【復原詛咒無效化】：你無法因為自己的技能 獲得ＨＰ回復，此效果持續到下個回合終了。</t>
  </si>
  <si>
    <t>異端審判人</t>
  </si>
  <si>
    <t>通過聖堂教會層層磨練，以將體術昇華至頂點。你的近戰與射擊常時＋１。生命力提升［你的代行者等級Ｘ２］，集中力提升［你的代行者等級Ｘ２］。防禦點＋１。</t>
  </si>
  <si>
    <t>秘跡封印</t>
  </si>
  <si>
    <t>對象身上所持：秘跡獲得不良狀態【封印】。 
發動此特技必須接觸到目標物品，或是與持有者進行近戰命中對抗。 
【封印】：秘跡失去其效果，此效果持續到下個回合／場景結束終了。</t>
  </si>
  <si>
    <t>聖痕持有</t>
  </si>
  <si>
    <t>你獲得以下常時： 
從【生命力】跟【集中力】選擇一項減少（你的代行者級別），從【近戰】跟【射擊】選擇一項增加（你的代行者級別）。</t>
  </si>
  <si>
    <t>異端消抹偏執：竭誠信仰</t>
  </si>
  <si>
    <t>取得此特技後，不得取得其他〈異端消抹偏執〉特技。 
對非人、魔術師傷害追加2D6點；其他傷害減1D6點。</t>
  </si>
  <si>
    <t>異端消抹偏執：不信者</t>
  </si>
  <si>
    <t>取得此特技後，不得取得其他〈異端消抹偏執〉特技。 
傷害常時增加1D6點。</t>
  </si>
  <si>
    <t>所持：秘跡</t>
  </si>
  <si>
    <t>你可以持有一秘跡，此特技可重複取得。</t>
  </si>
  <si>
    <t>影縫</t>
  </si>
  <si>
    <t xml:space="preserve">進攻／共通 </t>
  </si>
  <si>
    <t>實傷後效果，對象獲得不良狀態麻痺。</t>
  </si>
  <si>
    <t>強化式典</t>
  </si>
  <si>
    <r>
      <rPr>
        <rFont val="MingLiU"/>
        <color rgb="FF000000"/>
        <sz val="10.0"/>
      </rPr>
      <t>待機延遲</t>
    </r>
    <r>
      <rPr>
        <rFont val="Arial"/>
        <color rgb="FF000000"/>
        <sz val="10.0"/>
      </rPr>
      <t xml:space="preserve">2 </t>
    </r>
  </si>
  <si>
    <t>你的傷害追加《１Ｄ６＋１》點。宣言反擊時此特技失去效果。</t>
  </si>
  <si>
    <t>多重投擲</t>
  </si>
  <si>
    <t xml:space="preserve">進攻類型／射擊 </t>
  </si>
  <si>
    <r>
      <rPr>
        <rFont val="MingLiU"/>
        <color rgb="FF000000"/>
        <sz val="10.0"/>
      </rPr>
      <t>待機延遲</t>
    </r>
    <r>
      <rPr>
        <rFont val="Arial"/>
        <color rgb="FF000000"/>
        <sz val="10.0"/>
      </rPr>
      <t xml:space="preserve">3 </t>
    </r>
  </si>
  <si>
    <t>你可以一次使用【你的代行者等級】黑鍵進行攻擊，此數值不得大於６。攻擊對象可為不同人。宣言反擊時此特技失去效果。</t>
  </si>
  <si>
    <t>固定式典</t>
  </si>
  <si>
    <r>
      <rPr>
        <rFont val="MingLiU"/>
        <color rgb="FF000000"/>
        <sz val="10.0"/>
      </rPr>
      <t>一把黑鍵代價傷害</t>
    </r>
    <r>
      <rPr>
        <rFont val="Arial"/>
        <color rgb="FF000000"/>
        <sz val="10.0"/>
      </rPr>
      <t xml:space="preserve">2 </t>
    </r>
  </si>
  <si>
    <t>使你的黑鍵損毀率變為二分之一。這回合使用黑鍵時，命中+《1》，傷害+3。</t>
  </si>
  <si>
    <t>黑鍵製作</t>
  </si>
  <si>
    <t>戰鬥外時可使用，每一天可得到［你的代行者等級／２］數量的黑鍵，四捨五入去小數點。</t>
  </si>
  <si>
    <t>火葬式典</t>
  </si>
  <si>
    <r>
      <rPr>
        <rFont val="MingLiU"/>
        <color rgb="FF000000"/>
        <sz val="10.0"/>
      </rPr>
      <t>一把黑鍵代價傷害</t>
    </r>
    <r>
      <rPr>
        <rFont val="Arial"/>
        <color rgb="FF000000"/>
        <sz val="10.0"/>
      </rPr>
      <t xml:space="preserve">5 </t>
    </r>
  </si>
  <si>
    <t>你的黑鍵增加１Ｄ６的火屬性傷害。</t>
  </si>
  <si>
    <t>土葬式典</t>
  </si>
  <si>
    <r>
      <rPr>
        <rFont val="MingLiU"/>
        <color rgb="FF000000"/>
        <sz val="10.0"/>
      </rPr>
      <t>一把黑鍵代價傷害</t>
    </r>
    <r>
      <rPr>
        <rFont val="Arial"/>
        <color rgb="FF000000"/>
        <sz val="10.0"/>
      </rPr>
      <t xml:space="preserve">5 </t>
    </r>
  </si>
  <si>
    <t>你的黑鍵增加以下效果「實際傷害後效果，對象獲得不良狀態【石化】」
【石化】：你的防禦值上升１０，除了解除不良狀態，無法進行任何動作。</t>
  </si>
  <si>
    <t>風葬式典</t>
  </si>
  <si>
    <r>
      <rPr>
        <rFont val="MingLiU"/>
        <color rgb="FF000000"/>
        <sz val="10.0"/>
      </rPr>
      <t>一把黑鍵代價傷害</t>
    </r>
    <r>
      <rPr>
        <rFont val="Arial"/>
        <color rgb="FF000000"/>
        <sz val="10.0"/>
      </rPr>
      <t xml:space="preserve">5 </t>
    </r>
  </si>
  <si>
    <t>你的射擊命中額外增加【你的代行者等級】，黑鍵增加以下效果「使用黑鍵的特技，其待機延遲減少【你的代行者等級】點。」</t>
  </si>
  <si>
    <t>水葬式典</t>
  </si>
  <si>
    <r>
      <rPr>
        <rFont val="MingLiU"/>
        <color rgb="FF000000"/>
        <sz val="10.0"/>
      </rPr>
      <t>一把黑鍵代價傷害</t>
    </r>
    <r>
      <rPr>
        <rFont val="Arial"/>
        <color rgb="FF000000"/>
        <sz val="10.0"/>
      </rPr>
      <t xml:space="preserve">5 </t>
    </r>
  </si>
  <si>
    <t>你的黑鍵增加以下效果「實際傷害後效果，對象所有下回合結束之不良狀態延長［你的代行者等級／2］回合，四捨五入。且所有不良狀態解除判定的達成值變為10。」</t>
  </si>
  <si>
    <t>鳥葬式典</t>
  </si>
  <si>
    <r>
      <rPr>
        <rFont val="MingLiU"/>
        <color rgb="FF000000"/>
        <sz val="10.0"/>
      </rPr>
      <t>一把黑鍵代價傷害</t>
    </r>
    <r>
      <rPr>
        <rFont val="Arial"/>
        <color rgb="FF000000"/>
        <sz val="10.0"/>
      </rPr>
      <t xml:space="preserve">5 </t>
    </r>
  </si>
  <si>
    <t>你的黑鍵增加以下效果「實際傷害效果後，對象下回行動點-6」。</t>
  </si>
  <si>
    <t>神威之鎖</t>
  </si>
  <si>
    <t xml:space="preserve">代價傷害15 </t>
  </si>
  <si>
    <t>指定一對象，與其進行【精神】對決。對象失敗的話，此回合行動力－《１０》，非人者的話－《１５》。</t>
  </si>
  <si>
    <r>
      <rPr>
        <rFont val="MingLiU"/>
        <color rgb="FF000000"/>
        <sz val="10.0"/>
      </rPr>
      <t>額外特技</t>
    </r>
    <r>
      <rPr>
        <rFont val="Arial"/>
        <color rgb="FF000000"/>
        <sz val="10.0"/>
      </rPr>
      <t xml:space="preserve"> </t>
    </r>
    <r>
      <rPr>
        <rFont val="細明體"/>
        <color rgb="FF000000"/>
        <sz val="10.0"/>
      </rPr>
      <t>▲</t>
    </r>
  </si>
  <si>
    <t>式典魔術</t>
  </si>
  <si>
    <r>
      <rPr>
        <rFont val="MingLiU"/>
        <color rgb="FF000000"/>
        <sz val="10.0"/>
      </rPr>
      <t>一把黑鍵代價傷害</t>
    </r>
    <r>
      <rPr>
        <rFont val="Arial"/>
        <color rgb="FF000000"/>
        <sz val="10.0"/>
      </rPr>
      <t xml:space="preserve">7 </t>
    </r>
  </si>
  <si>
    <t xml:space="preserve">代行者等級5以上、火葬式典、土葬式典、風葬式典 </t>
  </si>
  <si>
    <t>你可以同時賦予黑鍵火葬、土葬、風葬的效果。</t>
  </si>
  <si>
    <t>強制洗禮</t>
  </si>
  <si>
    <t xml:space="preserve">代行者等級5以上、神威之鎖、異端審判人 </t>
  </si>
  <si>
    <t>實傷後效果，對象獲得不良狀態【洗禮】。如果為非人者，追加受到２Ｄ６傷害。</t>
  </si>
  <si>
    <t>埋葬機關候補</t>
  </si>
  <si>
    <t>代行者等級5以上、所持：秘跡、異端審判人</t>
  </si>
  <si>
    <t>你的近戰與射擊常時+２，生命力提升【你的代行者等級Ｘ２】，集中力提升【你的代行者等級Ｘ２】。</t>
  </si>
  <si>
    <t>所持：聖典</t>
  </si>
  <si>
    <t xml:space="preserve">代行者等級5以上、異端審判人 </t>
  </si>
  <si>
    <t>你可從下列擇一【聖典】持有：
■聖葬砲典
分類：攻撃類型／射撃
代償：待機延遲10
効果：當你具有「聖典制御刻印」時可使用。
指定對象1人，給予【你的代行者等級】D6的傷害，本次傷害為概念武裝。
宣言反擊時，傷害須扣減未待機完畢之行動點。
■第七聖典
分類：攻撃類型／共通
代償：待價傷害12
効果：當你具有「聖典制御刻印」時可使用。
指定對象1人，給予4D6+【你的代行者等級】的傷害，本次傷害為概念武裝。
■春綻聖典
分類：通常
代償：－
効果：當你具有「聖典制御刻印」時可使用。
劇本開始時自動補充【你的代行者等級*2】頁數。
攻擊時每使用一頁，提升你的命中1點或是傷害1點。 
■正式外典迦瑪列
分類：通常
代償：代價傷害20
効果：當你具有「聖典制御刻印」時可使用。
指定對象一人，此次攻擊的實際傷害為兩倍。
對象若為吸血種，實際傷害為三倍。</t>
  </si>
  <si>
    <t>鐵甲作用</t>
  </si>
  <si>
    <r>
      <rPr>
        <rFont val="MingLiU"/>
        <color rgb="FF000000"/>
        <sz val="10.0"/>
      </rPr>
      <t>待機延遲</t>
    </r>
    <r>
      <rPr>
        <rFont val="Arial"/>
        <color rgb="FF000000"/>
        <sz val="10.0"/>
      </rPr>
      <t xml:space="preserve">10 </t>
    </r>
  </si>
  <si>
    <t xml:space="preserve">埋葬機關候補 </t>
  </si>
  <si>
    <t>此技能可與式典技能併用。你的傷害追加【你的代行者等級】點。</t>
  </si>
  <si>
    <t>聖典制御刻印</t>
  </si>
  <si>
    <t xml:space="preserve">所持：聖典 </t>
  </si>
  <si>
    <t>你的防禦值上升4，當你丟出大失敗時，可以重新擲骰。</t>
  </si>
  <si>
    <t>戰鬥反應</t>
  </si>
  <si>
    <t>代價傷害7</t>
  </si>
  <si>
    <t>在聖堂教會的層層磨練下，身經無數的戰場並習慣之，無論怎樣突發狀況都可以精準判斷、下達命令，甚至是依槍聲聽出敵方武器種類。 
在你戰鬥判定之後使用，達成值+【你的代行者等級】。</t>
  </si>
  <si>
    <t>黑鍵抵禦</t>
  </si>
  <si>
    <t>在自身的迴避判定後使用，你可以使用【你的代行者等級】把黑鍵進行抵禦，此數值不可超過6。 
一把黑鍵可以抵擋攻擊類型／射擊結算前的1D6+4點傷害。</t>
  </si>
  <si>
    <t>第八秘跡會所屬</t>
  </si>
  <si>
    <t>代行者等級3以上、異端審判人或異端消抹偏執、所持：秘跡、秘跡破壞或秘跡封印</t>
  </si>
  <si>
    <t>你可以再持有［你的代行者等級／2］個秘跡，四捨五入。 
你可以得知任何處於【封印】狀態的裝備品或消耗品的位置。 
一個劇本可以使用［你的代行者等級］次，接觸該物品或與該物持有者近戰命中對抗成功後，回收處於【封印】狀態的該裝備品或消耗品。</t>
  </si>
  <si>
    <t>釘刑</t>
  </si>
  <si>
    <t>多重投擲、戰鬥反應</t>
  </si>
  <si>
    <t>你可以一次使用【你的代行者等級】把投擲物進行攻擊，此數值不得大於6，此特技只會對對方造成一次傷害，一次所造成的傷害為所有投擲物傷害之總和。 
宣言反擊時此特技失去效果。</t>
  </si>
  <si>
    <t>快速執行</t>
  </si>
  <si>
    <t>代行者等級7以上、式典魔術、戰鬥反應</t>
  </si>
  <si>
    <t>你的黑鍵上所有實際傷害後效果的敘述轉變為命中後效果。</t>
  </si>
  <si>
    <t>黑鍵製作‧進階</t>
  </si>
  <si>
    <t>代行者等級7以上</t>
  </si>
  <si>
    <t>每天可得到的黑鍵數量變為［你的代行者等級］、準備階段與結束階段皆能獲得一把黑鍵。</t>
  </si>
  <si>
    <t>不存在的恩典</t>
  </si>
  <si>
    <t>強制洗禮或第八秘跡會所屬或埋藏機關候補</t>
  </si>
  <si>
    <t xml:space="preserve"> 在符合取得限制下，取得兩個魔術師特技。</t>
  </si>
  <si>
    <t>不潔之物</t>
  </si>
  <si>
    <t>代價傷害3</t>
  </si>
  <si>
    <t>異端消抹偏執：竭誠信仰、黑鍵持有</t>
  </si>
  <si>
    <t>一天可以使用［你的代行者等級］次，消耗一把黑鍵你可以指定破壞刻有盧文字的物件、人偶、使魔或異界之獸。</t>
  </si>
  <si>
    <t>秘跡執行‧上下同位</t>
  </si>
  <si>
    <t>代行者等級7以上、第八秘跡會所屬</t>
  </si>
  <si>
    <t>破壞一個你所持有分類為裝備品的秘跡，你其中一個關於秘跡類特技中需要接觸的敘述變為直接宣告即可，且不須進行判定，此效果僅止於該回。
此技能在整個劇本中只得使用一次，若登錄為無盡破壞可再繼續使用。</t>
  </si>
  <si>
    <t>秘跡破壞</t>
  </si>
  <si>
    <t>代價傷害5</t>
  </si>
  <si>
    <t>異端消抹偏執：不信者、埋藏機關候補</t>
  </si>
  <si>
    <t>一個劇本可以使用［你的代行者等級］次，破壞一個所持：秘跡分類的裝備品或消耗品。 
發動此特技必須接觸到目標物品，或是與持有者進行近戰命中對抗。</t>
  </si>
  <si>
    <t>異物認定</t>
  </si>
  <si>
    <t>異端消抹偏執、秘跡破壞或秘跡封印</t>
  </si>
  <si>
    <t>秘跡破壞、秘跡封印中關於所持：秘跡的敘述皆變為所持：任意。</t>
  </si>
  <si>
    <t>超能力者</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</si>
  <si>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</si>
  <si>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</si>
  <si>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從「一代變異」「血脈」中選一，而後再選擇一個自己喜歡的特技。</t>
  </si>
  <si>
    <t>一代變異</t>
  </si>
  <si>
    <t xml:space="preserve">未持有「血脈」 </t>
  </si>
  <si>
    <t>你天生就開啟著與眾不同的「頻道」。
所有判定常時+《1》。若你只擁有超能力者級別，《》的值更改為1D6。</t>
  </si>
  <si>
    <t>血脈</t>
  </si>
  <si>
    <t xml:space="preserve">未持有「一代變異」 </t>
  </si>
  <si>
    <t>你繼承著好幾代累積而來的「異能」。
你的近戰、射擊、行動、生命力、集中力修正值增加﹝【精神】/3﹞(去小數點)。</t>
  </si>
  <si>
    <t>過去視</t>
  </si>
  <si>
    <t>你可窺視他人的記憶，化為自己的虛擬體驗。需要判定的場合使用精神。這個技能一天可以使用【你的超能力等級】次數。將這個技能以無盡破壞使用的話，可以在你的【超能力等級】／３回合內，拷貝使用對象所有戰鬥技術技能。</t>
  </si>
  <si>
    <t>未來視──預測</t>
  </si>
  <si>
    <t xml:space="preserve">常時／通用 </t>
  </si>
  <si>
    <t>你常時理智的判定＋２。戰鬥中從第二回合開始，每回合你的命中與迴避判定達成值＋１。將這個技能以無盡破壞使用的話，可以在你的【超能力等級】／３回合內，命中與迴避判定達成值額外增加【超能力等級】。</t>
  </si>
  <si>
    <t>未來視──測定</t>
  </si>
  <si>
    <t>你常時意志的判定＋２。你可以在任何判定的時候使用這個技能產生會心，這個會心一劇本只能使用一次。將這個技能以無盡破壞使用的話，可以再次會心，這個無盡破壞產生的會心沒有劇本使用限制。</t>
  </si>
  <si>
    <t>現在視</t>
  </si>
  <si>
    <t>你偶爾可以同時使用兩種以上的感覺來認識事物。能分辨文字裡包含的顏色、能聽見聲音的形狀、能感受語言的美味和苦味。此狀態面對問題時，不需特別思考也能直覺似地通曉答案。你的１、１視同６、６，將這技能以無盡破壞使用的話，可以在你的【超能力等級】／３回合內，你在４以下以及１０以上的骰數都視為會心。</t>
  </si>
  <si>
    <t>感應</t>
  </si>
  <si>
    <t>你每扣掉Ｎ點體力或是情緒值，就可以將同等戰鬥數值數值強化到他人身上。此數值不得超過你的【超能力者】級別。</t>
  </si>
  <si>
    <t>念寫</t>
  </si>
  <si>
    <t>將心中所想的事物顯現在紙張或其他媒介上的能力。 進行交流獲取情報的判定常時+2。 你可以把心中的想法化為不超過20字的文字傳送給肉眼所見的某人，需要判定的場合使用精神。 這個技能一天可以使用【超能力者等級】次。
將這個技能以無盡破壞使用的話，使一名對象命中和迴避下降【超能力者等級】直到戰鬥結束。</t>
  </si>
  <si>
    <t>念附</t>
  </si>
  <si>
    <t xml:space="preserve">代價傷害15點 </t>
  </si>
  <si>
    <t>一戰鬥一次。在一回合內可以使用精神代替行動、近戰、射擊判定。</t>
  </si>
  <si>
    <t>透視</t>
  </si>
  <si>
    <t>你的知覺判定常時+2。 即使人不在現場，你可以在一瞬間看見某個你去過地點的景象。
這個技能一天可以使用【超能力者等級】次。
將這個技能以無盡破壞使用的話，可以對你使用透視看到的目標進行一次攻擊。</t>
  </si>
  <si>
    <t>能力封印</t>
  </si>
  <si>
    <t>選取一個你擁有的特技，將其內文數值+3，一個劇本只能使用三次。特技有疑慮問題由GM判定。「嗚啊啊──我的右手......！！」</t>
  </si>
  <si>
    <t>概念破壞</t>
  </si>
  <si>
    <t>攻擊類型／精神</t>
  </si>
  <si>
    <t>指定全區域一對象造成《3D6》傷害。</t>
  </si>
  <si>
    <t>念動</t>
  </si>
  <si>
    <t>進攻特技／共通</t>
  </si>
  <si>
    <t>與攻擊目標進行精神對抗，若成功，本次攻擊傷害追加對抗的差值；若失敗，本次攻擊命中失敗。</t>
  </si>
  <si>
    <t>體術</t>
  </si>
  <si>
    <t>你的空手傷害常時增加《超能力者等級》。
你的近戰和射擊常時+1，生命力和集中力常時+10。
當你進行高難度動作(例如爬樹、衝刺......)需要體力判定時，在GM認可的情況下可以視為直接成功。</t>
  </si>
  <si>
    <t>淨眼</t>
  </si>
  <si>
    <t>代價傷害5點</t>
  </si>
  <si>
    <t xml:space="preserve"> 當你遇到其他角色時，你能得知該角色擁有的級別。
戰鬥中使用時，隨機得知對象的一項戰鬥數值。
需要判定的場合使用精神。</t>
  </si>
  <si>
    <t>額外特技 ▲</t>
  </si>
  <si>
    <t>退魔衝動</t>
  </si>
  <si>
    <t xml:space="preserve">血脈 </t>
  </si>
  <si>
    <t>你的近戰、射擊、行動、生命力、集中力級別修正值成為［【精神】／2］(去小數點)。 你面對混有【狩獵者】職級的PC、NPC戰鬥時，全判定+5。你能察覺有【狩獵者】職級者，初次接觸時立即進行【難易度１０+對方狩獵者等級】的精神判定骰 ，失敗或放棄的話你會失去理智，不顧一切殺死對方。此效果維持到你行動不能或是對方死亡。 二次見面以後不需判定。</t>
  </si>
  <si>
    <t>阿賴耶識的抑止力</t>
  </si>
  <si>
    <t xml:space="preserve">超能力者等級四以上 </t>
  </si>
  <si>
    <t>一劇本１０人以上角色死亡時發動。 你到劇本結束為止，每到場景終了（戰鬥中是到回合終了為止）增加100點情緒值。 你的全判定＋1D6(這個數值不能超過你的超能力者等級)，無盡破壞使用次數+1，已使用次數重置。</t>
  </si>
  <si>
    <t>極限</t>
  </si>
  <si>
    <t>一劇本一次，你進入行動不能時自動發動，你回覆［正面感情情緒值總和］ＨＰ，並且此效果在［你的超能力等級／３］回合內不限次數發動。</t>
  </si>
  <si>
    <t>生命的光輝</t>
  </si>
  <si>
    <t xml:space="preserve">超能力者等級五以上 </t>
  </si>
  <si>
    <t>你可以在任何時間點，使自己的HP上限剩下1。在場景結束前可以取得其他級別的任兩個特技(如果有取得條件，則必須滿足)並使用。場景結束前，你的判定增加你的【超能力者等級】。</t>
  </si>
  <si>
    <t>幻想之瞳（偽）</t>
  </si>
  <si>
    <t xml:space="preserve">最大生命力／２ </t>
  </si>
  <si>
    <t xml:space="preserve">創造角色時限定獲得 </t>
  </si>
  <si>
    <t>你可以取得其他級別任何非額外技能的特技２個。</t>
  </si>
  <si>
    <t>擬似元素</t>
  </si>
  <si>
    <t xml:space="preserve">超能力者等級三以上 </t>
  </si>
  <si>
    <t>取得此技能時，你獲得四點屬性點數。並可以隨意分配在任意屬性上。此屬性無法與【魔術師】級別獲得的屬性加算。</t>
  </si>
  <si>
    <t>咒視</t>
  </si>
  <si>
    <t xml:space="preserve">代價傷害10點 </t>
  </si>
  <si>
    <t>造成《1D6》傷害，實傷階段賦予一名目標一種隨機不良狀態。</t>
  </si>
  <si>
    <t>心靈鎖鏈</t>
  </si>
  <si>
    <t>一代變異，超能力者等級三以上</t>
  </si>
  <si>
    <t>指定兩名對象(不可為自己)，若其中一人受到實際傷害，另一人也會受到同等數值的實際傷害。
效果發揮或回合結束後解除。</t>
  </si>
  <si>
    <t>魔之混血</t>
  </si>
  <si>
    <t>血脈，超能力者等級三以上</t>
  </si>
  <si>
    <t>你獲得特技【人外血脈：鬼種】，技能敘述裡的「鬼種技能」更改為「超能力者技能」，【狩獵者】更改為【超能力者】。</t>
  </si>
  <si>
    <t>現象干涉</t>
  </si>
  <si>
    <t xml:space="preserve">一劇本可以使用【超能力者等級-2】次。從以下效果擇一發動：
►你瞬間離開目前所在場景，但無法控制會移動到哪。 
►指定一對象的判定減少2D6點。 
►指定一對象的判定增加1D6點。 
►指定一對象的不良狀態隨機消失一種。 
►指定對象的情緒點上升【你的超能力者等級】D6。 </t>
  </si>
  <si>
    <t>未來視──神知</t>
  </si>
  <si>
    <t>常時／通用</t>
  </si>
  <si>
    <t>未來視──預測、未來視──測定</t>
  </si>
  <si>
    <t>每當你的任何判定失敗時，達成值追加1D6。一個判定只能使用一次。
這個技能一天可以使用【你的超能力等級】次數。
將這個技能以無盡破壞使用的話，戰鬥中指定一個目標，在［【超能力者等級】/3］回合內你對他的所有對抗判定會心-3。</t>
  </si>
  <si>
    <t>第十二頻道</t>
  </si>
  <si>
    <t>代價傷害50點</t>
  </si>
  <si>
    <t>一代變異，超能力者等級七以上</t>
  </si>
  <si>
    <t>一劇本一次，在本場景/戰鬥結束前，你可以使三次判定產生會心。場景/戰鬥結束後你的情緒值歸零並進入行動不能狀態。
將這個技能以無盡破壞使用的話，可以重置會心的使用次數。</t>
  </si>
  <si>
    <t>雙重存在</t>
  </si>
  <si>
    <t>常時／結束階段</t>
  </si>
  <si>
    <t>血脈，超能力者等級五以上</t>
  </si>
  <si>
    <t>創造一個等級相當於【超能力者等級-2】、但是不能擁有【超能力者】級別的角色，此角色是你的另一人格，且兩個人格的記憶互通，可以隨時隨地切換。戰鬥中則只能在結束階段切換。
該角色的等級隨著你的【超能力者等級】提升。不管是原本角色還是創造出來的角色，只要其中一個人格死亡，另一人格也會跟著死亡。</t>
  </si>
  <si>
    <t>偽‧生之魔眼</t>
  </si>
  <si>
    <t xml:space="preserve">超能力者等級六以上 </t>
  </si>
  <si>
    <t>一劇本【超能力者等級-5】次。你能短暫地看到生物的生之線。戰鬥中使用時，在戰鬥結束前，你的攻擊傷害增加對象最大生命值的五分之一。</t>
  </si>
  <si>
    <t>武鬥家</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</si>
  <si>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</si>
  <si>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</si>
  <si>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得到「武道」，然後再選擇一個自己喜歡的特技。</t>
  </si>
  <si>
    <t>武道</t>
  </si>
  <si>
    <t>你的近戰相關判定常時＋２，傷害＋２。你需要使用【體力】做搜索判定時，達成值＋《２》</t>
  </si>
  <si>
    <t>蛇咬</t>
  </si>
  <si>
    <t>指定對象一人，給予２Ｄ６傷害。戰鬥中你第一次施放此技能時，命中與傷害＋《４》。</t>
  </si>
  <si>
    <t>滲透勁</t>
  </si>
  <si>
    <t xml:space="preserve">攻撃類型／近戰 </t>
  </si>
  <si>
    <r>
      <rPr>
        <rFont val="MingLiU"/>
        <color rgb="FF000000"/>
        <sz val="10.0"/>
      </rPr>
      <t>代價傷害２</t>
    </r>
    <r>
      <rPr>
        <rFont val="Arial"/>
        <color rgb="FF000000"/>
        <sz val="10.0"/>
      </rPr>
      <t xml:space="preserve"> </t>
    </r>
  </si>
  <si>
    <t>指定對象一人，給予１Ｄ６＋２傷害，此特技實際傷害為一點五倍（去小數點）。</t>
  </si>
  <si>
    <t>武心</t>
  </si>
  <si>
    <t xml:space="preserve">成功時上升2 </t>
  </si>
  <si>
    <t>通過一個目標值為10的2D6+【武鬥家等級】判定。成功則你本回合判定會心下降《１》，全判定上升1，傷害增加《【你的武鬥家等級】》。</t>
  </si>
  <si>
    <t>貼打</t>
  </si>
  <si>
    <t xml:space="preserve">進攻/近戰 </t>
  </si>
  <si>
    <t>實傷後效果，對手下回合結束前不能離開此區域。</t>
  </si>
  <si>
    <t>發勁</t>
  </si>
  <si>
    <r>
      <rPr>
        <rFont val="MingLiU"/>
        <color rgb="FF000000"/>
        <sz val="10.0"/>
      </rPr>
      <t>代價傷害２</t>
    </r>
    <r>
      <rPr>
        <rFont val="Arial"/>
        <color rgb="FF000000"/>
        <sz val="10.0"/>
      </rPr>
      <t xml:space="preserve"> </t>
    </r>
  </si>
  <si>
    <t>通過一個目標值為10的2D6+【武鬥家等級】判定。成功則你本回合傷害增加《１Ｄ６》。</t>
  </si>
  <si>
    <t>破打</t>
  </si>
  <si>
    <t>實傷後效果，對手的行動力減去《2D6+3》點，對手因為此特技進入行動完成狀態的話，下個回合無法動作。</t>
  </si>
  <si>
    <t>不屈</t>
  </si>
  <si>
    <t>你進入行動不能狀態時，在回合結束為止仍可行動。但是在這期間無法回復ＨＰ以及不良狀態。</t>
  </si>
  <si>
    <t>硬氣功</t>
  </si>
  <si>
    <r>
      <rPr>
        <rFont val="MingLiU"/>
        <color rgb="FF000000"/>
        <sz val="10.0"/>
      </rPr>
      <t>代價傷害４</t>
    </r>
    <r>
      <rPr>
        <rFont val="Arial"/>
        <color rgb="FF000000"/>
        <sz val="10.0"/>
      </rPr>
      <t xml:space="preserve"> </t>
    </r>
  </si>
  <si>
    <t>你的迴避達成值成為１，防禦點＋《４》。</t>
  </si>
  <si>
    <t>超反應</t>
  </si>
  <si>
    <r>
      <rPr>
        <rFont val="MingLiU"/>
        <color rgb="FF000000"/>
        <sz val="10.0"/>
      </rPr>
      <t>代價傷害</t>
    </r>
    <r>
      <rPr>
        <rFont val="Arial"/>
        <color rgb="FF000000"/>
        <sz val="10.0"/>
      </rPr>
      <t>5</t>
    </r>
    <r>
      <rPr>
        <rFont val="MingLiU"/>
        <color rgb="FF000000"/>
        <sz val="10.0"/>
      </rPr>
      <t>點</t>
    </r>
    <r>
      <rPr>
        <rFont val="Arial"/>
        <color rgb="FF000000"/>
        <sz val="10.0"/>
      </rPr>
      <t xml:space="preserve"> </t>
    </r>
  </si>
  <si>
    <t>防禦時，無論攻擊側使用什麼你都能使用【近戰】-4進行迴避判定。</t>
  </si>
  <si>
    <t>精神統一</t>
  </si>
  <si>
    <t>你每消耗10點TP，就可以恢復《2D6+1》ＨＰ。</t>
  </si>
  <si>
    <t>震腳</t>
  </si>
  <si>
    <t>實際傷害後效果，對手的情緒值減去同等傷害骰的數值。</t>
  </si>
  <si>
    <t>真氣統合</t>
  </si>
  <si>
    <t>你的武鬥家等級必須超過其他級別。 
你將現有HP與TP加總後均分。均分後若回復超過原先HP5點，獲得狀態【真氣】。 
【真氣】：傷害增加【武鬥家等級】，此回合戰鬥判定增加1D6。狀態持續到你遭受傷害為止。</t>
  </si>
  <si>
    <r>
      <rPr>
        <rFont val="MingLiU"/>
        <color rgb="FF000000"/>
        <sz val="10.0"/>
      </rPr>
      <t>額外特技</t>
    </r>
    <r>
      <rPr>
        <rFont val="Arial"/>
        <color rgb="FF000000"/>
        <sz val="10.0"/>
      </rPr>
      <t xml:space="preserve"> </t>
    </r>
    <r>
      <rPr>
        <rFont val="MingLiU"/>
        <color rgb="FF000000"/>
        <sz val="10.0"/>
      </rPr>
      <t>▲</t>
    </r>
  </si>
  <si>
    <t>先手必勝</t>
  </si>
  <si>
    <t xml:space="preserve">武鬥家等級4以上 </t>
  </si>
  <si>
    <t>通過一個目標值為12的2D6+【武鬥家等級】判定。此次攻擊因為對手技能而進入反擊處理時，你可以跳過命中過程，直接擲傷害骰給予對手傷害。在這之後若對手未進入行動不能狀態，你也受到對手攻擊傷害。</t>
  </si>
  <si>
    <t>連環掌</t>
  </si>
  <si>
    <t xml:space="preserve">代價傷害４ </t>
  </si>
  <si>
    <t xml:space="preserve">武鬥家等級３以上 </t>
  </si>
  <si>
    <t>通過一個目標值為12的2D6+【武鬥家等級】判定。成功後蛇咬與滲透勁於實傷階段給予對手《２Ｄ６》傷害。</t>
  </si>
  <si>
    <t>合氣投</t>
  </si>
  <si>
    <t xml:space="preserve">武鬥家等級４以上 </t>
  </si>
  <si>
    <t>你的破打使對象變成行動完成的狀態時，追加《４Ｄ６》傷害，並可以使對象強制移動到相鄰區域。</t>
  </si>
  <si>
    <t>散打</t>
  </si>
  <si>
    <t xml:space="preserve">貼打 </t>
  </si>
  <si>
    <t>通過一個目標值為12的2D6+【武鬥家等級】判定。實傷後效果。對象下一次迴避判定時達成值－《４》。</t>
  </si>
  <si>
    <t>一擊脫離</t>
  </si>
  <si>
    <t>通過一個目標值為12的2D6+【武鬥家等級】判定。此次攻擊因為對手技能而進入反擊處理時，你可以選擇降低《2D6》傷害而迴避對手的反擊。對方的待機狀態並不會因此解除。</t>
  </si>
  <si>
    <t>武神的呼吸</t>
  </si>
  <si>
    <t xml:space="preserve">參考內文 </t>
  </si>
  <si>
    <t xml:space="preserve">武鬥家等級5以上、先手必勝 </t>
  </si>
  <si>
    <t>這個特技在決定階段使用。你無視行動點順序、行動與否取得主要階段。</t>
  </si>
  <si>
    <t>真氣爆發‧虎襲</t>
  </si>
  <si>
    <t xml:space="preserve">真氣統合 </t>
  </si>
  <si>
    <t>真氣狀態下使用。 
命中後效果，選擇本次攻擊中尚未使用的攻擊類型／近戰技能，視同直接命中，傷害分段計算後加總。 
使用後真氣狀態解除。</t>
  </si>
  <si>
    <t>真氣制御‧天人合一</t>
  </si>
  <si>
    <t>戰鬥中使用。 
回合中輪到你行動時，可將剩餘行動點全數轉為TP。 
回合結束前你的被動判定減少1D6，受到攻擊時傷害額外增加2D6-【武鬥家等級】。 
結束階段你獲得〈真氣〉。</t>
  </si>
  <si>
    <t>真氣爆發‧狼影</t>
  </si>
  <si>
    <t>真氣狀態下使用。 
受到近戰攻擊時，迴避判定+1D6。 
迴避成功時，選擇一攻擊類型／近戰攻擊對手，無須擲骰直接命中，對方無法使用技能類型:防禦。 
使用後真氣解除。</t>
  </si>
  <si>
    <t>真氣制御‧浮生</t>
  </si>
  <si>
    <t>真氣狀態下使用，一劇本2次。 
當你受到攻擊時，可將一半所受到的傷害由TP支付，並且保持〈真氣〉。</t>
  </si>
  <si>
    <t>超凡</t>
  </si>
  <si>
    <t xml:space="preserve">一劇本1次，若達成所有取得限制，使用次數+1。 
下列效果三擇一： 
●無盡破壞或是一個特技的代價變成0。 
●限制次數的能力回數+1。 
●此回合判定不會遭受其他人的技能或背反律所影響。 </t>
  </si>
  <si>
    <t>自然之體</t>
  </si>
  <si>
    <t>你的所有屬性點+3，回合結束階段回復1D6TP。
HP上限-10。</t>
  </si>
  <si>
    <t>氣入</t>
  </si>
  <si>
    <t>攻擊類型／近戰</t>
  </si>
  <si>
    <t>指定對象一人，給予其《1D6+[你的一屬性值]》傷害。若該屬性值高於5點，實傷階段額外造成[你的一屬性值]。</t>
  </si>
  <si>
    <t>縫之牢</t>
  </si>
  <si>
    <t>實傷後效果，對方下次逃跑判定達成值-《2》，命中後對象獲得不良狀態【鎖定】。 
【鎖定】：當你受到來自鎖定者的攻擊時，鎖定者的命中判定+3，會心-1。</t>
  </si>
  <si>
    <t>伏龍滅</t>
  </si>
  <si>
    <t>進攻／近戰</t>
  </si>
  <si>
    <t>攻擊範圍增加至鄰近區域，傷害增加《3》。搭配〈氣入〉合算為單一技能，且代價傷害改為4。</t>
  </si>
  <si>
    <t>三絕掌</t>
  </si>
  <si>
    <t>攻擊類型／近戰技能命中後，可對同一目標選擇一個你本回尚未使用過的攻擊類型／近戰技能進行攻擊，若命中還能再次選擇一個本回合尚未使用過的攻擊類型／近戰技能進行一次攻擊。 
實際傷害分開計算。</t>
  </si>
  <si>
    <t>八極拳</t>
  </si>
  <si>
    <t>代價傷害8</t>
  </si>
  <si>
    <t>指定對象一人，造成1D6+【雙方防禦點差】的傷害。 
武鬥家等級四時，此技能效果改為： 
指定對象一人，造成2D6+【對手防禦點】的傷害。 
武鬥家等級六時，此技能效果改為： 
指定對象一人，造成3D6+【雙方防禦總合】的傷害。 
武鬥家等級十時，此技能效果改為： 
指定對象一人，造成4D6+【雙方防禦總合】的傷害，此技能實際傷害為兩倍。</t>
  </si>
  <si>
    <t>悟天霞</t>
  </si>
  <si>
    <t>自然之體、武鬥家等級3以上</t>
  </si>
  <si>
    <t>HP和TP增加（武鬥家等級*2），精神判定常時+3。失去所有的防禦點，換成等量的屬性技能點數，並可隨意分配到任意屬性上。</t>
  </si>
  <si>
    <t>七脈淨氣</t>
  </si>
  <si>
    <t>武鬥家等級8以上</t>
  </si>
  <si>
    <t>此次傷害增加《4》D6+2的傷害，命中增加[你的一屬性值]。 
額外支付10點代價傷害，本次攻擊增加攻擊範圍內一目標。</t>
  </si>
  <si>
    <t>武練</t>
  </si>
  <si>
    <t>初始級別皆為武鬥家</t>
  </si>
  <si>
    <t xml:space="preserve"> 一場戰鬥兩次。 
命中或迴避時可骰兩次判定，擇較高數為達成值，但無法會心。</t>
  </si>
  <si>
    <t>古神道</t>
  </si>
  <si>
    <r>
      <rPr>
        <rFont val="MingLiU"/>
        <color rgb="FF000000"/>
        <sz val="10.0"/>
      </rPr>
      <t>能力基本值</t>
    </r>
  </si>
  <si>
    <t>取得特技 ▲</t>
  </si>
  <si>
    <t>得到「陰陽道」、「五名門」。</t>
  </si>
  <si>
    <t>陰陽道</t>
  </si>
  <si>
    <t>你得到這個屬性。可以重複藉著這個特技獲得屬性。
使用古神道技能時，減少你的【陰陽道等級】詠唱時間。對全屬性抗性為【(陰陽道等級/2)+1】。
你的ＴＰ上限額外增加【陰陽道等級Ｘ１０】，每日結束時恢復最大值十分之一。
在魔力的有無及強弱的感知檢定的【知覺】判定達成値上＋《３》。</t>
  </si>
  <si>
    <t>五名門</t>
  </si>
  <si>
    <t xml:space="preserve">你的古神道等級必須超過其他級別。
你的最大HP、TP+10，「陰陽道」技能+1，《》內的數值+1。戰鬥以外的判定常時+1。 </t>
  </si>
  <si>
    <t>符</t>
  </si>
  <si>
    <r>
      <rPr>
        <rFont val="MingLiU"/>
        <color rgb="FF000000"/>
        <sz val="10.0"/>
      </rPr>
      <t>待機延遲</t>
    </r>
    <r>
      <rPr>
        <rFont val="Arial"/>
        <color rgb="FF000000"/>
        <sz val="10.0"/>
      </rPr>
      <t>4</t>
    </r>
    <r>
      <rPr>
        <rFont val="MingLiU"/>
        <color rgb="FF000000"/>
        <sz val="10.0"/>
      </rPr>
      <t>，代價傷害</t>
    </r>
    <r>
      <rPr>
        <rFont val="Arial"/>
        <color rgb="FF000000"/>
        <sz val="10.0"/>
      </rPr>
      <t xml:space="preserve">4 </t>
    </r>
  </si>
  <si>
    <r>
      <rPr>
        <rFont val="MingLiU"/>
        <color rgb="FF000000"/>
        <sz val="10.0"/>
      </rPr>
      <t>指定對象一個人、給予《</t>
    </r>
    <r>
      <rPr>
        <rFont val="Arial"/>
        <color rgb="FF000000"/>
        <sz val="10.0"/>
      </rPr>
      <t>2D6</t>
    </r>
    <r>
      <rPr>
        <rFont val="MingLiU"/>
        <color rgb="FF000000"/>
        <sz val="10.0"/>
      </rPr>
      <t>點</t>
    </r>
    <r>
      <rPr>
        <rFont val="Arial"/>
        <color rgb="FF000000"/>
        <sz val="10.0"/>
      </rPr>
      <t>+</t>
    </r>
    <r>
      <rPr>
        <rFont val="MingLiU"/>
        <color rgb="FF000000"/>
        <sz val="10.0"/>
      </rPr>
      <t>【陰陽道等級】》的傷害。
使用這特技時，命中會額外增加【你的陰陽道等級】。
使用此技能需要陰陽道等級一以上。</t>
    </r>
  </si>
  <si>
    <t>斬魔刀</t>
  </si>
  <si>
    <r>
      <rPr>
        <rFont val="MingLiU"/>
        <color rgb="FF000000"/>
        <sz val="10.0"/>
      </rPr>
      <t>指定對象一個人，然後給予</t>
    </r>
    <r>
      <rPr>
        <rFont val="Arial"/>
        <color rgb="FF000000"/>
        <sz val="10.0"/>
      </rPr>
      <t>2D6+</t>
    </r>
    <r>
      <rPr>
        <rFont val="MingLiU"/>
        <color rgb="FF000000"/>
        <sz val="10.0"/>
      </rPr>
      <t>【陰陽道等級】的傷害。
傷害擲骰的結果</t>
    </r>
    <r>
      <rPr>
        <rFont val="Arial"/>
        <color rgb="FF000000"/>
        <sz val="10.0"/>
      </rPr>
      <t>12</t>
    </r>
    <r>
      <rPr>
        <rFont val="MingLiU"/>
        <color rgb="FF000000"/>
        <sz val="10.0"/>
      </rPr>
      <t>點以上追加《</t>
    </r>
    <r>
      <rPr>
        <rFont val="Arial"/>
        <color rgb="FF000000"/>
        <sz val="10.0"/>
      </rPr>
      <t>1</t>
    </r>
    <r>
      <rPr>
        <rFont val="MingLiU"/>
        <color rgb="FF000000"/>
        <sz val="10.0"/>
      </rPr>
      <t>》</t>
    </r>
    <r>
      <rPr>
        <rFont val="Arial"/>
        <color rgb="FF000000"/>
        <sz val="10.0"/>
      </rPr>
      <t>D6</t>
    </r>
    <r>
      <rPr>
        <rFont val="MingLiU"/>
        <color rgb="FF000000"/>
        <sz val="10.0"/>
      </rPr>
      <t>的傷害。
使用此技能需要陰陽道等級一以上。</t>
    </r>
  </si>
  <si>
    <t>結界鋪設</t>
  </si>
  <si>
    <r>
      <rPr>
        <rFont val="MingLiU"/>
        <color rgb="FF000000"/>
        <sz val="10.0"/>
      </rPr>
      <t>將你所持有的一個特技做為對象。將該對象「設置」。
被設置的特技、可以在設置的地點不支付代價而使用。
可以設置的特技個數上限、跟你的古神道等級相同。
預置結界有被發現而遭破壞可能，耐久度為你的</t>
    </r>
    <r>
      <rPr>
        <rFont val="Arial"/>
        <color rgb="FF000000"/>
        <sz val="10.0"/>
      </rPr>
      <t>2D6+</t>
    </r>
    <r>
      <rPr>
        <rFont val="MingLiU"/>
        <color rgb="FF000000"/>
        <sz val="10.0"/>
      </rPr>
      <t>古神道等級</t>
    </r>
    <r>
      <rPr>
        <rFont val="Arial"/>
        <color rgb="FF000000"/>
        <sz val="10.0"/>
      </rPr>
      <t>+</t>
    </r>
    <r>
      <rPr>
        <rFont val="MingLiU"/>
        <color rgb="FF000000"/>
        <sz val="10.0"/>
      </rPr>
      <t>精神。
執行破壞結界行動時，一律為</t>
    </r>
    <r>
      <rPr>
        <rFont val="Arial"/>
        <color rgb="FF000000"/>
        <sz val="10.0"/>
      </rPr>
      <t>2D6+</t>
    </r>
    <r>
      <rPr>
        <rFont val="MingLiU"/>
        <color rgb="FF000000"/>
        <sz val="10.0"/>
      </rPr>
      <t>玩家精神
戰鬥中無法使用。</t>
    </r>
  </si>
  <si>
    <t>封印結界</t>
  </si>
  <si>
    <t xml:space="preserve">代價傷害20 </t>
  </si>
  <si>
    <r>
      <rPr>
        <rFont val="MingLiU"/>
        <color rgb="FF000000"/>
        <sz val="10.0"/>
      </rPr>
      <t xml:space="preserve">做出【你的古神道等級】個人或物無法逃脫的領域。
結界的基礎封印能力依你的古神道等級而定。
</t>
    </r>
    <r>
      <rPr>
        <rFont val="Arial"/>
        <color rgb="FF000000"/>
        <sz val="10.0"/>
      </rPr>
      <t xml:space="preserve">LV1~3:9~11
LV4~6:12~14
LV7~9:15~17
</t>
    </r>
    <r>
      <rPr>
        <rFont val="MingLiU"/>
        <color rgb="FF000000"/>
        <sz val="10.0"/>
      </rPr>
      <t>超過十級以此類推。總值為</t>
    </r>
    <r>
      <rPr>
        <rFont val="Arial"/>
        <color rgb="FF000000"/>
        <sz val="10.0"/>
      </rPr>
      <t>(</t>
    </r>
    <r>
      <rPr>
        <rFont val="MingLiU"/>
        <color rgb="FF000000"/>
        <sz val="10.0"/>
      </rPr>
      <t>基礎封印能力</t>
    </r>
    <r>
      <rPr>
        <rFont val="Arial"/>
        <color rgb="FF000000"/>
        <sz val="10.0"/>
      </rPr>
      <t>+</t>
    </r>
    <r>
      <rPr>
        <rFont val="MingLiU"/>
        <color rgb="FF000000"/>
        <sz val="10.0"/>
      </rPr>
      <t>【陰陽道等級】</t>
    </r>
    <r>
      <rPr>
        <rFont val="Arial"/>
        <color rgb="FF000000"/>
        <sz val="10.0"/>
      </rPr>
      <t xml:space="preserve">)
</t>
    </r>
    <r>
      <rPr>
        <rFont val="MingLiU"/>
        <color rgb="FF000000"/>
        <sz val="10.0"/>
      </rPr>
      <t>在結界範圍內給予下列所有效果：
被指定的人要從範圍內離開時須進行精神抵抗，失敗的話即無法離開。
在戰鬪中則每回合可嘗試一次。
被指定的人或物，從範圍內向範圍外的近戰攻擊，因屬於脫逃所以要進行精神抵抗，若未能成功即無法進行。成功的話，即可從結界中脫離。抵抗公式為</t>
    </r>
    <r>
      <rPr>
        <rFont val="Arial"/>
        <color rgb="FF000000"/>
        <sz val="10.0"/>
      </rPr>
      <t>2D6+</t>
    </r>
    <r>
      <rPr>
        <rFont val="MingLiU"/>
        <color rgb="FF000000"/>
        <sz val="10.0"/>
      </rPr>
      <t>精神。
範圍內向外的遠戰攻擊視同執行破壞結界行動，每回合可執行一次，
執行破壞結界行動時，一律為</t>
    </r>
    <r>
      <rPr>
        <rFont val="Arial"/>
        <color rgb="FF000000"/>
        <sz val="10.0"/>
      </rPr>
      <t>2D6+</t>
    </r>
    <r>
      <rPr>
        <rFont val="MingLiU"/>
        <color rgb="FF000000"/>
        <sz val="10.0"/>
      </rPr>
      <t>玩家精神
結界耐久度為你的《</t>
    </r>
    <r>
      <rPr>
        <rFont val="Arial"/>
        <color rgb="FF000000"/>
        <sz val="10.0"/>
      </rPr>
      <t>2D6</t>
    </r>
    <r>
      <rPr>
        <rFont val="MingLiU"/>
        <color rgb="FF000000"/>
        <sz val="10.0"/>
      </rPr>
      <t>》</t>
    </r>
    <r>
      <rPr>
        <rFont val="Arial"/>
        <color rgb="FF000000"/>
        <sz val="10.0"/>
      </rPr>
      <t>+</t>
    </r>
    <r>
      <rPr>
        <rFont val="MingLiU"/>
        <color rgb="FF000000"/>
        <sz val="10.0"/>
      </rPr>
      <t>基礎封印能力</t>
    </r>
    <r>
      <rPr>
        <rFont val="Arial"/>
        <color rgb="FF000000"/>
        <sz val="10.0"/>
      </rPr>
      <t>+</t>
    </r>
    <r>
      <rPr>
        <rFont val="MingLiU"/>
        <color rgb="FF000000"/>
        <sz val="10.0"/>
      </rPr>
      <t>古神道等級</t>
    </r>
    <r>
      <rPr>
        <rFont val="Arial"/>
        <color rgb="FF000000"/>
        <sz val="10.0"/>
      </rPr>
      <t>+</t>
    </r>
    <r>
      <rPr>
        <rFont val="MingLiU"/>
        <color rgb="FF000000"/>
        <sz val="10.0"/>
      </rPr>
      <t>精神</t>
    </r>
  </si>
  <si>
    <t>式神</t>
  </si>
  <si>
    <t xml:space="preserve">陰陽道等級三以上 </t>
  </si>
  <si>
    <r>
      <rPr>
        <rFont val="MingLiU"/>
        <color rgb="FF000000"/>
        <sz val="10.0"/>
      </rPr>
      <t>喚出一體式神，能力參考鬼神。
能招換的數量為〈</t>
    </r>
    <r>
      <rPr>
        <rFont val="Arial"/>
        <color rgb="FF000000"/>
        <sz val="10.0"/>
      </rPr>
      <t>(</t>
    </r>
    <r>
      <rPr>
        <rFont val="MingLiU"/>
        <color rgb="FF000000"/>
        <sz val="10.0"/>
      </rPr>
      <t>【你的古神道等級】</t>
    </r>
    <r>
      <rPr>
        <rFont val="Arial"/>
        <color rgb="FF000000"/>
        <sz val="10.0"/>
      </rPr>
      <t>+</t>
    </r>
    <r>
      <rPr>
        <rFont val="MingLiU"/>
        <color rgb="FF000000"/>
        <sz val="10.0"/>
      </rPr>
      <t>【你的陰陽道等級】</t>
    </r>
    <r>
      <rPr>
        <rFont val="Arial"/>
        <color rgb="FF000000"/>
        <sz val="10.0"/>
      </rPr>
      <t>)/2</t>
    </r>
    <r>
      <rPr>
        <rFont val="MingLiU"/>
        <color rgb="FF000000"/>
        <sz val="10.0"/>
      </rPr>
      <t>〉</t>
    </r>
  </si>
  <si>
    <t>集中</t>
  </si>
  <si>
    <t xml:space="preserve">陰陽道等級二以上 </t>
  </si>
  <si>
    <r>
      <rPr>
        <rFont val="MingLiU"/>
        <color rgb="FF000000"/>
        <sz val="10.0"/>
      </rPr>
      <t>你的命中與迴避的達成值增加【精神】</t>
    </r>
    <r>
      <rPr>
        <rFont val="Arial"/>
        <color rgb="FF000000"/>
        <sz val="10.0"/>
      </rPr>
      <t>/4</t>
    </r>
    <r>
      <rPr>
        <rFont val="MingLiU"/>
        <color rgb="FF000000"/>
        <sz val="10.0"/>
      </rPr>
      <t>。
結束階段時，通過難易度</t>
    </r>
    <r>
      <rPr>
        <rFont val="Arial"/>
        <color rgb="FF000000"/>
        <sz val="10.0"/>
      </rPr>
      <t>20</t>
    </r>
    <r>
      <rPr>
        <rFont val="MingLiU"/>
        <color rgb="FF000000"/>
        <sz val="10.0"/>
      </rPr>
      <t>的精神骰後，不需支付代價可以維持。</t>
    </r>
  </si>
  <si>
    <t>二刀流</t>
  </si>
  <si>
    <r>
      <rPr>
        <rFont val="MingLiU"/>
        <color rgb="FF000000"/>
        <sz val="10.0"/>
      </rPr>
      <t>待機延遲</t>
    </r>
    <r>
      <rPr>
        <rFont val="Arial"/>
        <color rgb="FF000000"/>
        <sz val="10.0"/>
      </rPr>
      <t xml:space="preserve">3 </t>
    </r>
  </si>
  <si>
    <t>搭配斬魔刀使用可合算為單一特技，以你攻擊對象的角色發揮效果。
這是實際傷害後效果。你可以再次擲傷害骰、給與對方傷害。
但是如果這攻擊是全體攻擊，無法發揮此技能效果。</t>
  </si>
  <si>
    <t>祈禱之加持</t>
  </si>
  <si>
    <t xml:space="preserve">準備階段／結束階段 </t>
  </si>
  <si>
    <t xml:space="preserve">陰陽道等級一以上 </t>
  </si>
  <si>
    <r>
      <rPr>
        <rFont val="MingLiU"/>
        <color rgb="FF000000"/>
        <sz val="10.0"/>
      </rPr>
      <t>回覆一名目標生物ＨＰ《</t>
    </r>
    <r>
      <rPr>
        <rFont val="Arial"/>
        <color rgb="FF000000"/>
        <sz val="10.0"/>
      </rPr>
      <t>2</t>
    </r>
    <r>
      <rPr>
        <rFont val="MingLiU"/>
        <color rgb="FF000000"/>
        <sz val="10.0"/>
      </rPr>
      <t>》</t>
    </r>
    <r>
      <rPr>
        <rFont val="Arial"/>
        <color rgb="FF000000"/>
        <sz val="10.0"/>
      </rPr>
      <t>D6+</t>
    </r>
    <r>
      <rPr>
        <rFont val="MingLiU"/>
        <color rgb="FF000000"/>
        <sz val="10.0"/>
      </rPr>
      <t>【你的陰陽道等級】的治癒術。並恢復一個不良狀態。</t>
    </r>
  </si>
  <si>
    <t>淨身</t>
  </si>
  <si>
    <r>
      <rPr>
        <rFont val="MingLiU"/>
        <color rgb="FF000000"/>
        <sz val="10.0"/>
      </rPr>
      <t>行動點</t>
    </r>
    <r>
      <rPr>
        <rFont val="Arial"/>
        <color rgb="FF000000"/>
        <sz val="10.0"/>
      </rPr>
      <t>10</t>
    </r>
    <r>
      <rPr>
        <rFont val="MingLiU"/>
        <color rgb="FF000000"/>
        <sz val="10.0"/>
      </rPr>
      <t>點</t>
    </r>
    <r>
      <rPr>
        <rFont val="Arial"/>
        <color rgb="FF000000"/>
        <sz val="10.0"/>
      </rPr>
      <t xml:space="preserve"> </t>
    </r>
  </si>
  <si>
    <t xml:space="preserve">你的陰陽道等級 </t>
  </si>
  <si>
    <t>對象進行判定前使用，藉由給予祝福，對象本次判定達成值加上【你的陰陽道等級】。</t>
  </si>
  <si>
    <r>
      <rPr>
        <rFont val="MingLiU"/>
        <color rgb="FF000000"/>
        <sz val="10.0"/>
      </rPr>
      <t>額外特技</t>
    </r>
    <r>
      <rPr>
        <rFont val="Arial"/>
        <color rgb="FF000000"/>
        <sz val="10.0"/>
      </rPr>
      <t xml:space="preserve"> </t>
    </r>
    <r>
      <rPr>
        <rFont val="MingLiU"/>
        <color rgb="FF000000"/>
        <sz val="10.0"/>
      </rPr>
      <t>▲</t>
    </r>
  </si>
  <si>
    <t>式神憑依</t>
  </si>
  <si>
    <t xml:space="preserve">陰陽道等級三以上、式神 </t>
  </si>
  <si>
    <r>
      <rPr>
        <rFont val="MingLiU"/>
        <color rgb="FF000000"/>
        <sz val="10.0"/>
      </rPr>
      <t xml:space="preserve">將召喚出的一體式神憑依至自己身上。大幅提高戰鬥能力。
把式神的全數值加到自己身上，這個數值不能超過你的《【陰陽道】》等級。
</t>
    </r>
    <r>
      <rPr>
        <rFont val="Arial"/>
        <color rgb="FF000000"/>
        <sz val="10.0"/>
      </rPr>
      <t>HP</t>
    </r>
    <r>
      <rPr>
        <rFont val="MingLiU"/>
        <color rgb="FF000000"/>
        <sz val="10.0"/>
      </rPr>
      <t>或</t>
    </r>
    <r>
      <rPr>
        <rFont val="Arial"/>
        <color rgb="FF000000"/>
        <sz val="10.0"/>
      </rPr>
      <t>TP</t>
    </r>
    <r>
      <rPr>
        <rFont val="MingLiU"/>
        <color rgb="FF000000"/>
        <sz val="10.0"/>
      </rPr>
      <t>歸零時此狀態解除。
在此狀態時每經過一次行動，得付出代價傷害</t>
    </r>
    <r>
      <rPr>
        <rFont val="Arial"/>
        <color rgb="FF000000"/>
        <sz val="10.0"/>
      </rPr>
      <t>10</t>
    </r>
    <r>
      <rPr>
        <rFont val="MingLiU"/>
        <color rgb="FF000000"/>
        <sz val="10.0"/>
      </rPr>
      <t>點</t>
    </r>
    <r>
      <rPr>
        <rFont val="Arial"/>
        <color rgb="FF000000"/>
        <sz val="10.0"/>
      </rPr>
      <t>-</t>
    </r>
    <r>
      <rPr>
        <rFont val="MingLiU"/>
        <color rgb="FF000000"/>
        <sz val="10.0"/>
      </rPr>
      <t>你的【陰陽道】等級。</t>
    </r>
  </si>
  <si>
    <t>血之刻印</t>
  </si>
  <si>
    <t>你的防禦常時+《1》。藉由刻印的封印之術，能夠把不易攜帶的武器或物品藏入奇特的空間之中。物體大小限制為你的【陰陽道等級】m。</t>
  </si>
  <si>
    <t>五行破魔</t>
  </si>
  <si>
    <t xml:space="preserve">進攻／射擊 </t>
  </si>
  <si>
    <r>
      <rPr>
        <rFont val="MingLiU"/>
        <color rgb="FF000000"/>
        <sz val="10.0"/>
      </rPr>
      <t>待機延遲</t>
    </r>
    <r>
      <rPr>
        <rFont val="Arial"/>
        <color rgb="FF000000"/>
        <sz val="10.0"/>
      </rPr>
      <t>10</t>
    </r>
  </si>
  <si>
    <r>
      <rPr>
        <rFont val="MingLiU"/>
        <color rgb="FF000000"/>
        <sz val="10.0"/>
      </rPr>
      <t>此技能需要配合符技能使用。
給予一名敵人增加《【你的陰陽道等級】》</t>
    </r>
    <r>
      <rPr>
        <rFont val="Arial"/>
        <color rgb="FF000000"/>
        <sz val="10.0"/>
      </rPr>
      <t xml:space="preserve">D6 </t>
    </r>
    <r>
      <rPr>
        <rFont val="MingLiU"/>
        <color rgb="FF000000"/>
        <sz val="10.0"/>
      </rPr>
      <t>的攻擊，實際傷害為兩倍。此攻擊為類概念武裝。</t>
    </r>
  </si>
  <si>
    <t>天地陰陽</t>
  </si>
  <si>
    <r>
      <rPr>
        <rFont val="MingLiU"/>
        <color rgb="FF000000"/>
        <sz val="10.0"/>
      </rPr>
      <t>待機延遲</t>
    </r>
    <r>
      <rPr>
        <rFont val="Arial"/>
        <color rgb="FF000000"/>
        <sz val="10.0"/>
      </rPr>
      <t>5</t>
    </r>
    <r>
      <rPr>
        <rFont val="MingLiU"/>
        <color rgb="FF000000"/>
        <sz val="10.0"/>
      </rPr>
      <t>點，代價傷害</t>
    </r>
    <r>
      <rPr>
        <rFont val="Arial"/>
        <color rgb="FF000000"/>
        <sz val="10.0"/>
      </rPr>
      <t xml:space="preserve">10 </t>
    </r>
  </si>
  <si>
    <t xml:space="preserve">陰陽道等級三以上、血之刻印 </t>
  </si>
  <si>
    <t>此技能需要擁有血之刻印技能才能作用。 你的古神道技能傷害增加《【你的陰陽道等級】》點。</t>
  </si>
  <si>
    <t>神護</t>
  </si>
  <si>
    <t>你受到的傷害減少三分之二。而後受到等同傷害的代價傷害。</t>
  </si>
  <si>
    <t>破魔結界</t>
  </si>
  <si>
    <t>代價傷害50</t>
  </si>
  <si>
    <r>
      <rPr>
        <rFont val="MingLiU"/>
        <color rgb="FF000000"/>
        <sz val="10.0"/>
      </rPr>
      <t xml:space="preserve">此技能需要擁有封印結界技能，並該技能為發動中才能使用。
在範圍內可解除運作中的能力效果，更可使範圍內的能力難以運作。
在結界範圍內依造順序給予下列全部效果。
</t>
    </r>
    <r>
      <rPr>
        <rFont val="Arial"/>
        <color rgb="FF000000"/>
        <sz val="10.0"/>
      </rPr>
      <t xml:space="preserve">► </t>
    </r>
    <r>
      <rPr>
        <rFont val="MingLiU"/>
        <color rgb="FF000000"/>
        <sz val="10.0"/>
      </rPr>
      <t xml:space="preserve">啟動後解除封印結界。
</t>
    </r>
    <r>
      <rPr>
        <rFont val="Arial"/>
        <color rgb="FF000000"/>
        <sz val="10.0"/>
      </rPr>
      <t xml:space="preserve">► </t>
    </r>
    <r>
      <rPr>
        <rFont val="MingLiU"/>
        <color rgb="FF000000"/>
        <sz val="10.0"/>
      </rPr>
      <t>瞬間給予結界內不分敵我全部人物</t>
    </r>
    <r>
      <rPr>
        <rFont val="Arial"/>
        <color rgb="FF000000"/>
        <sz val="10.0"/>
      </rPr>
      <t xml:space="preserve">5D6+10+ </t>
    </r>
    <r>
      <rPr>
        <rFont val="MingLiU"/>
        <color rgb="FF000000"/>
        <sz val="10.0"/>
      </rPr>
      <t>【你的陰陽道等級】</t>
    </r>
    <r>
      <rPr>
        <rFont val="Arial"/>
        <color rgb="FF000000"/>
        <sz val="10.0"/>
      </rPr>
      <t>+</t>
    </r>
    <r>
      <rPr>
        <rFont val="MingLiU"/>
        <color rgb="FF000000"/>
        <sz val="10.0"/>
      </rPr>
      <t xml:space="preserve">精神的傷害。
如果其中有使魔、死徒、擁有背反律「死之転生」或「反轉衝動」、技能「於世所不容者」者、或者是背反者，需再承受一次傷害。
</t>
    </r>
    <r>
      <rPr>
        <rFont val="Arial"/>
        <color rgb="FF000000"/>
        <sz val="10.0"/>
      </rPr>
      <t xml:space="preserve">► </t>
    </r>
    <r>
      <rPr>
        <rFont val="MingLiU"/>
        <color rgb="FF000000"/>
        <sz val="10.0"/>
      </rPr>
      <t xml:space="preserve">給予結界內不分敵我全部人物持有之特殊狀態全部解除。
</t>
    </r>
    <r>
      <rPr>
        <rFont val="Arial"/>
        <color rgb="FF000000"/>
        <sz val="10.0"/>
      </rPr>
      <t xml:space="preserve">► </t>
    </r>
    <r>
      <rPr>
        <rFont val="MingLiU"/>
        <color rgb="FF000000"/>
        <sz val="10.0"/>
      </rPr>
      <t xml:space="preserve">結界內不分敵我全部人物之能力值全部下降【你的陰陽道等級】點，效果持續【你的陰陽道等級】回合。
</t>
    </r>
    <r>
      <rPr>
        <rFont val="Arial"/>
        <color rgb="FF000000"/>
        <sz val="10.0"/>
      </rPr>
      <t xml:space="preserve">► </t>
    </r>
    <r>
      <rPr>
        <rFont val="MingLiU"/>
        <color rgb="FF000000"/>
        <sz val="10.0"/>
      </rPr>
      <t>此結界解除。
使用後你的情緒值無論剩餘多少瞬間歸零。使用時</t>
    </r>
    <r>
      <rPr>
        <rFont val="Arial"/>
        <color rgb="FF000000"/>
        <sz val="10.0"/>
      </rPr>
      <t>TP</t>
    </r>
    <r>
      <rPr>
        <rFont val="MingLiU"/>
        <color rgb="FF000000"/>
        <sz val="10.0"/>
      </rPr>
      <t>須為</t>
    </r>
    <r>
      <rPr>
        <rFont val="Arial"/>
        <color rgb="FF000000"/>
        <sz val="10.0"/>
      </rPr>
      <t>1</t>
    </r>
    <r>
      <rPr>
        <rFont val="MingLiU"/>
        <color rgb="FF000000"/>
        <sz val="10.0"/>
      </rPr>
      <t>以上。</t>
    </r>
  </si>
  <si>
    <t>魔術師</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</si>
  <si>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</si>
  <si>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</si>
  <si>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得到「魔術迴路」、然後再選擇一個自己喜歡的特技。</t>
  </si>
  <si>
    <t>魔術迴路</t>
  </si>
  <si>
    <t>你的ＴＰ上限增加【魔術師等級*10】，每日結束時恢復最大值十分之一。你持有一屬性，屬性值會依據你的魔術師等級而有所增加。一等為2，爾後每等上升1。你在魔力感知的判定常時+2。使用魔術師技能時，你的達成值額外增加【精神】／4。 你需要使用【意志】做情報判定時，達成值＋《２》。 
※在角色創造時，你每減少一等級，便可以多獲得一種屬性。以三等角色為例，最多可以減少兩等多獲得兩種屬性，以等級一角色開始。</t>
  </si>
  <si>
    <t>思考的並列演算</t>
  </si>
  <si>
    <t xml:space="preserve">代價傷害２ </t>
  </si>
  <si>
    <t>在你行為判定之後使用，達成值＋１Ｄ６(這個數值不能超過你的魔術師等級)，使用後行動值－４。</t>
  </si>
  <si>
    <t>靈子光纖</t>
  </si>
  <si>
    <t>指定一對象給予２Ｄ６傷害，命中後對象獲得不良狀態「鎖定」。
此不良狀態可以疊加。 【鎖定】：當你受到來自鎖定者的攻擊時，鎖定者的命中判定+3，會心-1。</t>
  </si>
  <si>
    <t>靈子標記</t>
  </si>
  <si>
    <t>指定一對象給予不良狀態「鎖定」。 【鎖定】：當你受到來自鎖定者的攻擊時，鎖定者的命中判定+3，會心-1。</t>
  </si>
  <si>
    <t>靈子散射</t>
  </si>
  <si>
    <t xml:space="preserve">進攻／通常 </t>
  </si>
  <si>
    <t>本次攻擊的對象成為所有遭受你鎖定之人。鎖定對象每增加1人，傷害減少1D6(不會減少到2D6以下)。</t>
  </si>
  <si>
    <t>防禦結界</t>
  </si>
  <si>
    <t>因應你的屬性，展開保護自己的防禦式。若持有多種屬性，會同時發動。 結束階段需付出10點的代價傷害維持效果。 
►地：你增加三點防禦。 
►水：攻擊側的傷害減少1D6。 
►風：你增加三點迴避判定。 
►空：你的迴避會心下降2。 
►其他：請洽GM。</t>
  </si>
  <si>
    <t>強化</t>
  </si>
  <si>
    <t>以同區域角色1人所持武器、或是分類：攻擊類型技能為對象。傷害＋《４》，並具有概念武裝效果。此效果持續到結束階段。在施放時，你可以以每回合5點的代價傷害將這個技能的效果回合數延長。</t>
  </si>
  <si>
    <t>咒怨彈</t>
  </si>
  <si>
    <t>指定對象1人，給予2D6+【理智】點傷害。此技能使用後，你減少7點行動點，並且不會進入已行動狀態。 實傷後效果，對手下回合全判定-《1》。此傷害需扣減對象的最高屬性值。</t>
  </si>
  <si>
    <t>魔術刻印</t>
  </si>
  <si>
    <t>你的魔術使用代價輕減四分之一（包含待機延遲）。你的ＴＰ額外增加５０點上限，每到準備階段，你會恢復［你的魔術師等級Ｘ３］點ＴＰ。每到結束階段，你會恢復［你的魔術師等級］ＨＰ。</t>
  </si>
  <si>
    <t>使魔</t>
  </si>
  <si>
    <t>你擁有共享五感的使魔。使魔的能力可以從「狗」、「烏鴉」、「灰貓」任選一。你可以重複取得此特技，使魔死亡的話會於下個劇本或是在戰鬥外支付30點代價傷害復活。</t>
  </si>
  <si>
    <t>共感</t>
  </si>
  <si>
    <t>以角色一人為對象，你取得對象的五感。此效果須經對方同意。將此技能以無盡破壞使用時，你可以在複製對象的能力值為己所用，每到回合結束必須支付５０點ＴＰ以持續效果。</t>
  </si>
  <si>
    <t>禮裝所持</t>
  </si>
  <si>
    <t>你得到一個魔術禮裝，此特技可以重複取得。</t>
  </si>
  <si>
    <t>詠唱</t>
  </si>
  <si>
    <r>
      <rPr>
        <rFont val="細明體"/>
        <color rgb="FF000000"/>
        <sz val="10.0"/>
      </rPr>
      <t>代價依工程區分，每小節待機延遲</t>
    </r>
    <r>
      <rPr>
        <rFont val="Arial"/>
        <color rgb="FF000000"/>
        <sz val="10.0"/>
      </rPr>
      <t>4</t>
    </r>
    <r>
      <rPr>
        <rFont val="細明體"/>
        <color rgb="FF000000"/>
        <sz val="10.0"/>
      </rPr>
      <t>。代價傷害</t>
    </r>
    <r>
      <rPr>
        <rFont val="Arial"/>
        <color rgb="FF000000"/>
        <sz val="10.0"/>
      </rPr>
      <t xml:space="preserve">5 </t>
    </r>
  </si>
  <si>
    <t>指定對象一人，給予１Ｄ６＋［你的一屬性值］傷害。每小節詠唱追加１Ｄ６傷害，詠唱節數不能超過你的［魔術師等級］。因詠唱進入反擊階段時，未詠唱完的小節將不計入反擊傷害。</t>
  </si>
  <si>
    <t>暗示</t>
  </si>
  <si>
    <t xml:space="preserve">通用／中斷 </t>
  </si>
  <si>
    <t>你可以使用暗示。戰鬥中使用時，你與對象進行精神對決，獲勝的話，對手的行動減去你的【魔術師等級】。這個技能的達成值，需扣減對象的［魔術師等級］。</t>
  </si>
  <si>
    <t>防禦魔術</t>
  </si>
  <si>
    <r>
      <rPr>
        <rFont val="MingLiU"/>
        <color rgb="FF000000"/>
        <sz val="10.0"/>
      </rPr>
      <t>代價任意</t>
    </r>
    <r>
      <rPr>
        <rFont val="Arial"/>
        <color rgb="FF000000"/>
        <sz val="10.0"/>
      </rPr>
      <t xml:space="preserve"> </t>
    </r>
  </si>
  <si>
    <t xml:space="preserve">魔術刻印 </t>
  </si>
  <si>
    <t>你可以把［本次支付代價／４］以下的傷害無效化。在傷害無效化之後，直到戰鬥結束前你的防禦點+2。</t>
  </si>
  <si>
    <t>人偶製成</t>
  </si>
  <si>
    <r>
      <rPr>
        <rFont val="MingLiU"/>
        <color rgb="FF000000"/>
        <sz val="10.0"/>
      </rPr>
      <t>代價一個人偶代價傷害</t>
    </r>
    <r>
      <rPr>
        <rFont val="Arial"/>
        <color rgb="FF000000"/>
        <sz val="10.0"/>
      </rPr>
      <t xml:space="preserve">10 </t>
    </r>
  </si>
  <si>
    <t xml:space="preserve">劇本開始時，你獲得【魔術師等級】/3個人偶。你可以使用此技能製造一體人偶，戰鬥中無法使用，一天只能製造【魔術師等級】/3個人偶。當你戰鬥中受到攻擊時，你可以選擇是否要讓人偶抵擋傷害，每一個人偶可以減輕10+【魔術師等級】點傷害，人偶會在抵擋後損毀。 </t>
  </si>
  <si>
    <t>突擊</t>
  </si>
  <si>
    <t>破壞1個人偶後發動。指定一對象，對該對象進行一次遠戰攻擊，傷害為10+【魔術師等級】+2D6。當你命中失敗時，可以追加破壞一個人偶，繼續進行攻擊。</t>
  </si>
  <si>
    <t>攻擊式</t>
  </si>
  <si>
    <t xml:space="preserve">攻擊類型／遠戰 </t>
  </si>
  <si>
    <t>你每有一個人偶，便可以指定一個對象造成1D6傷害。你最多可以命令【你的魔術師等級】個人偶，同時對單一對象攻擊。每多一個人偶進行攻擊，命中上升1(這個值不能超過你的魔術師等級)。</t>
  </si>
  <si>
    <t>盧文字刻印</t>
  </si>
  <si>
    <t xml:space="preserve">通常／常時 </t>
  </si>
  <si>
    <t>你可以在物品上刻上盧文字，使其賦予你習得的盧文字效果。你的一個基本能力值+3。戰鬥中使用時，需耗費主行動。 
習得此技能的同時，你可以再獲得一個非額外特技的「○○盧文」特技。</t>
  </si>
  <si>
    <t>航海盧文</t>
  </si>
  <si>
    <t xml:space="preserve">盧文字刻印 </t>
  </si>
  <si>
    <t>你習得此盧文字，效果為對於敵人的存在，或是危險的感知判定＋《３》。</t>
  </si>
  <si>
    <t>守護盧文</t>
  </si>
  <si>
    <t>你習得此盧文字，效果為使人防禦力＋《２》。</t>
  </si>
  <si>
    <t>尋物盧文</t>
  </si>
  <si>
    <t>你習得此盧文字，效果為找人或物品時達成值＋《３》。你必須見過此人或物品。</t>
  </si>
  <si>
    <t>奔跑盧文</t>
  </si>
  <si>
    <t>你習得此盧文字，效果為使人的【體力】判定達成值＋《３》。戰鬥時【行動】＋《５》。</t>
  </si>
  <si>
    <t>中斷盧文</t>
  </si>
  <si>
    <t>準備階段，其他角色使用準備階段特技時使用。 與他進行精神對決，獲勝的話，對象特技使用失敗。 對象若使用無盡破壞，此特技無法成功。 持有屬性【風】或是【空】時，達成值+2。</t>
  </si>
  <si>
    <t>緩和詠唱</t>
  </si>
  <si>
    <t>和魔術師特技一起宣言，會產生以下效果：
►追加待機延遲4(跟：準備的特技組合時，改為行動點數-4)。
►組合的特技代償下降《２》、最低１，這個效果一次只支援一個特技。 
►和『防禦結界』組合時，若你持有【火屬性】，維持代價－《２》。 
►一戰鬥可以使用【１＋[你的魔術師級別等級／3]】回使用。 
►不能和其他名稱中有【詠唱】的特技同時使用，不能作為無盡破壞的對象。</t>
  </si>
  <si>
    <t>流動詠唱</t>
  </si>
  <si>
    <t>和魔術師特技一起宣言，會產生以下效果：
►追加待機延遲4(跟：準備的特技組合時，改為行動點數-4)，並佔掉進攻特技的位置。 
►組合的特技在待機延遲時，不會因為受到實際傷害中斷，也不會發動相殺。 
►和『投影』、『防禦結界』組合時，持續回合數＋《1》。 
►持有【水屬性】時，進攻特技位置解放，【水屬性】大於等於5時，可以多搭配一組進攻特技。 
►一戰鬥可以使用【１＋[你的魔術師級別等級／3]】回使用。 
►不能和其他名稱中有【詠唱】的特技同時使用，不能作為無盡破壞的對象。</t>
  </si>
  <si>
    <t>快速詠唱</t>
  </si>
  <si>
    <t xml:space="preserve">代價傷害4 </t>
  </si>
  <si>
    <t>和魔術師特技一起宣言，會產生以下效果：
►待機延遲４內的魔術變更為待機延遲１，超過的待機延遲減少《２》，最多降為原本的一半。 
►和『詠唱』組合且【風屬性】大於等於５時，待機延遲可減少6，但代價傷害追加４(合計代價傷害８)。 
►和『思考的並列演算』組合時，行動懲罰－１。 
►持有【風屬性】時，效果文中《》內的數值＋１。【風屬性】大於等於５時，效果文中《》內的數值再＋１。 
►一戰鬥可以使用【１＋[你的魔術師級別等級／3]】回使用。 
►不能和其他名稱中有【詠唱】的特技同時使用，不能作為無盡破壞的對象。</t>
  </si>
  <si>
    <t>堅結詠唱</t>
  </si>
  <si>
    <t xml:space="preserve">代價傷害6。每小節追加代價傷害2 </t>
  </si>
  <si>
    <t>和魔術師特技一起宣言，會產生以下效果：
►每追加一小節(待機延遲4)詠唱，命中判定達成值+1、傷害+《2》。 
►和『詠唱』組合時，共用詠唱長度上限，並佔掉進攻特技的位置。 
►和『強化』組合時，傷害+《1》，行動點數-4。 
►持有【地屬性】時，效果文中《》內的數值+1，詠唱兩小節以上時命中+1。【地屬性】大於等於５時，進攻特技位置解放。 
►一戰鬥可以使用【１＋[你的魔術師級別等級／3]】回使用。 
►不能和其他名稱中有【詠唱】的特技同時使用，不能作為無盡破壞的對象。</t>
  </si>
  <si>
    <t>無息詠唱</t>
  </si>
  <si>
    <t>代價傷害5、行動點數4</t>
  </si>
  <si>
    <t>和魔術師特技一起宣言，會產生以下效果：
►這回合你使用的魔術師特技待機延遲減少《2》，你的行動點數減少《》內值的1.5倍。 
►和『防禦結界』組合時，『防禦結界』使用代價以及維持代價減半。 
►持有【空屬性】時，效果文中《》內的數值+2，【空屬性】大於等於５時，再+2。 
►一戰鬥可以使用【１＋[你的魔術師級別等級／4]】回使用。 
►不能和其他名稱中有【詠唱】的特技同時使用，不能作為無盡破壞的對象。</t>
  </si>
  <si>
    <r>
      <rPr>
        <rFont val="MingLiU"/>
        <color rgb="FF000000"/>
        <sz val="10.0"/>
      </rPr>
      <t>額外特技</t>
    </r>
    <r>
      <rPr>
        <rFont val="Arial"/>
        <color rgb="FF000000"/>
        <sz val="10.0"/>
      </rPr>
      <t xml:space="preserve"> </t>
    </r>
    <r>
      <rPr>
        <rFont val="細明體"/>
        <color rgb="FF000000"/>
        <sz val="10.0"/>
      </rPr>
      <t>▲</t>
    </r>
  </si>
  <si>
    <t xml:space="preserve">魔術師等級2以上 </t>
  </si>
  <si>
    <t>將你所持有的一個特技做為對象。將該對象「設置」。被設置的特技、可以在設置的地點不支付代價而使用。 可以設置的特技個數上限、跟你的魔術師等級相同。 預置結界有被發現而遭破壞可能，耐久度為你的《2D6》+魔術師等級+(精神/3)。 執行破壞結界行動時，一律為(2D6+玩家精神/3)。 戰鬥中無法使用。</t>
  </si>
  <si>
    <r>
      <rPr>
        <rFont val="Arial"/>
        <color rgb="FF000000"/>
        <sz val="10.0"/>
      </rPr>
      <t>Fin</t>
    </r>
    <r>
      <rPr>
        <rFont val="細明體"/>
        <color rgb="FF000000"/>
        <sz val="10.0"/>
      </rPr>
      <t>之一擊</t>
    </r>
  </si>
  <si>
    <t xml:space="preserve">代價傷害20點 </t>
  </si>
  <si>
    <t xml:space="preserve">咒怨彈、魔術師等級5以上 </t>
  </si>
  <si>
    <t>搭配咒怨彈使用，此次傷害增加《５Ｄ６》，實傷後效果，當對手因此次攻擊HP至0以下時，直接死亡。</t>
  </si>
  <si>
    <t>複數詠唱</t>
  </si>
  <si>
    <t xml:space="preserve">代價傷害30點，待機延遲10點 </t>
  </si>
  <si>
    <t xml:space="preserve">詠唱、魔術師等級6以上 </t>
  </si>
  <si>
    <t>此技能需要配合詠唱技能使用。你的詠唱傷害追加「１Ｄ６＋［你所有不為零以下屬性的總和］」，每多一種屬性，待機延遲增加等量屬性點。此技能使用時，行動點數不可小於你所需的待機延遲點數。</t>
  </si>
  <si>
    <t>人偶專精</t>
  </si>
  <si>
    <t xml:space="preserve">魔術師等級4以上 </t>
  </si>
  <si>
    <t>你每日能製造的人偶數目+1。你的人偶抵擋傷害成為15+【魔術師等級】點。</t>
  </si>
  <si>
    <t>自我複製</t>
  </si>
  <si>
    <t xml:space="preserve">人偶專精、魔術師等級8以上 </t>
  </si>
  <si>
    <t>一劇本一次，當你死亡時，於下一個場景復活，戰鬥中在三回合後復活。</t>
  </si>
  <si>
    <t>召喚專精</t>
  </si>
  <si>
    <t xml:space="preserve">魔術師等級5以上 </t>
  </si>
  <si>
    <t>你能召喚一體「異界之獸」。 召喚異界之獸時，你的行動點數增加1D6，並從以下效果選擇一個發動： 
1.指定一對象，造成的傷害增加2D6。 
2.指定一對象防禦增加【你的魔術師等級】點。 
3.指定一對象，恢復他3D6HP。 
每多付20點代價傷害，你便可以多選擇一個效果。 
異界之獸的效果會在回合結束時消失。</t>
  </si>
  <si>
    <r>
      <rPr>
        <rFont val="MingLiU"/>
        <color rgb="FF000000"/>
        <sz val="10.0"/>
      </rPr>
      <t>原始</t>
    </r>
    <r>
      <rPr>
        <rFont val="Arial"/>
        <color rgb="FF000000"/>
        <sz val="10.0"/>
      </rPr>
      <t>18</t>
    </r>
    <r>
      <rPr>
        <rFont val="細明體"/>
        <color rgb="FF000000"/>
        <sz val="10.0"/>
      </rPr>
      <t>盧文</t>
    </r>
  </si>
  <si>
    <t>你的盧文字相關技能《》內之值＋１。 你的一個基本能力值+3。</t>
  </si>
  <si>
    <t>詛咒盧文</t>
  </si>
  <si>
    <t>你習得此盧文字，戰鬥中使用效果為你與對象進行【精神】對決。獲勝後，對象本回合內所有達成值減少《你持有的盧文字技能數》點。</t>
  </si>
  <si>
    <t>治癒魔術</t>
  </si>
  <si>
    <t xml:space="preserve">魔術刻印、魔術師等級3以上 </t>
  </si>
  <si>
    <t>你指定對象一人，使其恢復《［你的魔術師等級－２］Ｄ６》ＨＰ。每額外支付１５點ＴＰ，增加１Ｄ６回覆量。</t>
  </si>
  <si>
    <t>完全解析</t>
  </si>
  <si>
    <t xml:space="preserve">靈子光纖、思考的並列演算 </t>
  </si>
  <si>
    <t>你這回合的戰鬥判定＋《２》，傷害＋《４》</t>
  </si>
  <si>
    <t>勝利盧文</t>
  </si>
  <si>
    <t>你習得此盧文字，效果為武器成為概念武裝，傷害＋《２》。</t>
  </si>
  <si>
    <t>發火盧文</t>
  </si>
  <si>
    <t>你習得此盧文字，效果為使物體燃燒或發光。戰鬥中可使用，攻擊類型為精神。命中後對象得到不良狀態「燃燒」。 
「燃燒」：每到回合結束時，受到《【你的魔術師等級】*6》的最大生命值百分比傷害。</t>
  </si>
  <si>
    <t>抗咒盧文</t>
  </si>
  <si>
    <t>你習得此盧文字，效果為使人對於【精神】的被動判定上升《５》。</t>
  </si>
  <si>
    <t>醫療盧文</t>
  </si>
  <si>
    <t>你習得此盧文字，效果為一場景自動抵抗一次不良狀態。</t>
  </si>
  <si>
    <t>魔力壓縮</t>
  </si>
  <si>
    <t xml:space="preserve">魔術刻印、魔術師等級6以上 </t>
  </si>
  <si>
    <t>你可以常時輕減代價傷害１０（最低為１）。</t>
  </si>
  <si>
    <t>詠唱專精</t>
  </si>
  <si>
    <t xml:space="preserve">詠唱、魔術師等級4以上 </t>
  </si>
  <si>
    <t>取得此特技的同時，你可以另外獲得兩個魔術師級別內有著「詠唱」名稱的特技。特技如果有，必須滿足其條件。</t>
  </si>
  <si>
    <t>屬性魔術師</t>
  </si>
  <si>
    <t xml:space="preserve">任一「詠唱」名稱特技、任一屬性３以上 </t>
  </si>
  <si>
    <t>取得此特技的同時，你可以選擇一個在魔術師級別內有著「詠唱」名稱的特技，將《》內的值+1，特技的代價傷害-1。魔術師特技『靈子光纖』、『咒怨彈』造成的傷害可以變更成你持有的屬性。</t>
  </si>
  <si>
    <t>屬性強化</t>
  </si>
  <si>
    <t xml:space="preserve">代價傷害12 </t>
  </si>
  <si>
    <t xml:space="preserve">屬性魔術師 </t>
  </si>
  <si>
    <t>『靈子光纖』、『咒怨彈』、『詠唱』傷害追加你的任一屬性的屬性值，並成為該屬性傷害。『防禦結界』效果增加兩回合。『防禦魔術』對任意屬性傷害－４，你持有該屬性則－８。代價傷害追加8點傷害時，持有的任一屬性值＋２。</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</si>
  <si>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</si>
  <si>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</si>
  <si>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得到「架空存在」、或是「理外存在」。</t>
  </si>
  <si>
    <t>每當等級是2的倍數時，你可以取得兩個特技。當等級是三等、七等時，你可以取得一個特技</t>
  </si>
  <si>
    <t>架空存在</t>
  </si>
  <si>
    <t>你的屬性空+《3》，其他屬性-《2》。</t>
  </si>
  <si>
    <t>理外存在</t>
  </si>
  <si>
    <t>劇本開始時，你的【生命力】與【集中力】+3D6。</t>
  </si>
  <si>
    <t>虛數破壞</t>
  </si>
  <si>
    <t xml:space="preserve">攻擊類型／特殊 </t>
  </si>
  <si>
    <t xml:space="preserve">1D6 </t>
  </si>
  <si>
    <r>
      <rPr>
        <rFont val="MingLiU"/>
        <color rgb="FF000000"/>
        <sz val="10.0"/>
      </rPr>
      <t>對一人發動傷害是《</t>
    </r>
    <r>
      <rPr>
        <rFont val="Arial"/>
        <color rgb="FF000000"/>
        <sz val="10.0"/>
      </rPr>
      <t>2D6</t>
    </r>
    <r>
      <rPr>
        <rFont val="MingLiU"/>
        <color rgb="FF000000"/>
        <sz val="10.0"/>
      </rPr>
      <t>》的攻擊。
攻擊時丟出</t>
    </r>
    <r>
      <rPr>
        <rFont val="Arial"/>
        <color rgb="FF000000"/>
        <sz val="10.0"/>
      </rPr>
      <t>1D6</t>
    </r>
    <r>
      <rPr>
        <rFont val="MingLiU"/>
        <color rgb="FF000000"/>
        <sz val="10.0"/>
      </rPr>
      <t>，「</t>
    </r>
    <r>
      <rPr>
        <rFont val="Arial"/>
        <color rgb="FF000000"/>
        <sz val="10.0"/>
      </rPr>
      <t>1</t>
    </r>
    <r>
      <rPr>
        <rFont val="MingLiU"/>
        <color rgb="FF000000"/>
        <sz val="10.0"/>
      </rPr>
      <t>、</t>
    </r>
    <r>
      <rPr>
        <rFont val="Arial"/>
        <color rgb="FF000000"/>
        <sz val="10.0"/>
      </rPr>
      <t>2</t>
    </r>
    <r>
      <rPr>
        <rFont val="MingLiU"/>
        <color rgb="FF000000"/>
        <sz val="10.0"/>
      </rPr>
      <t>」此攻擊為近戰，「</t>
    </r>
    <r>
      <rPr>
        <rFont val="Arial"/>
        <color rgb="FF000000"/>
        <sz val="10.0"/>
      </rPr>
      <t>3</t>
    </r>
    <r>
      <rPr>
        <rFont val="MingLiU"/>
        <color rgb="FF000000"/>
        <sz val="10.0"/>
      </rPr>
      <t>、</t>
    </r>
    <r>
      <rPr>
        <rFont val="Arial"/>
        <color rgb="FF000000"/>
        <sz val="10.0"/>
      </rPr>
      <t>4</t>
    </r>
    <r>
      <rPr>
        <rFont val="MingLiU"/>
        <color rgb="FF000000"/>
        <sz val="10.0"/>
      </rPr>
      <t>」為遠戰，「</t>
    </r>
    <r>
      <rPr>
        <rFont val="Arial"/>
        <color rgb="FF000000"/>
        <sz val="10.0"/>
      </rPr>
      <t>5</t>
    </r>
    <r>
      <rPr>
        <rFont val="MingLiU"/>
        <color rgb="FF000000"/>
        <sz val="10.0"/>
      </rPr>
      <t>、</t>
    </r>
    <r>
      <rPr>
        <rFont val="Arial"/>
        <color rgb="FF000000"/>
        <sz val="10.0"/>
      </rPr>
      <t>6</t>
    </r>
    <r>
      <rPr>
        <rFont val="MingLiU"/>
        <color rgb="FF000000"/>
        <sz val="10.0"/>
      </rPr>
      <t>」為精神。
此攻擊只能與分類共通的特技組合。</t>
    </r>
  </si>
  <si>
    <t>屬性顯現</t>
  </si>
  <si>
    <t>取得此特技時決定一個屬性。發動此特技時，攻擊成為該屬性，並傷害追加該屬性數值。</t>
  </si>
  <si>
    <t>對物理能力</t>
  </si>
  <si>
    <t>非概念武裝或是上限傷害的傷害減少《1D6》。</t>
  </si>
  <si>
    <t>對魔術能力</t>
  </si>
  <si>
    <t>概念武裝或是上限傷害的傷害減少《1D6》。</t>
  </si>
  <si>
    <t>攻性概念</t>
  </si>
  <si>
    <t>當你只擁有異端級別時，傷害+《異端等級》，攻擊成為概念武裝。</t>
  </si>
  <si>
    <t>妨害工作</t>
  </si>
  <si>
    <t>全區域任何人判定時使用，對象達成值-《1D6》，使用後自己行動值減少1D6。</t>
  </si>
  <si>
    <t>高昂</t>
  </si>
  <si>
    <t>準備階段時，TP+《異端等級》。結束階段時，HP+《異端等級》</t>
  </si>
  <si>
    <t>能力上升</t>
  </si>
  <si>
    <r>
      <rPr>
        <rFont val="MingLiU"/>
        <color rgb="FF000000"/>
        <sz val="10.0"/>
      </rPr>
      <t>對同區域一人使用。
到戰鬥結束為止，</t>
    </r>
    <r>
      <rPr>
        <rFont val="Arial"/>
        <color rgb="FF000000"/>
        <sz val="10.0"/>
      </rPr>
      <t>HP</t>
    </r>
    <r>
      <rPr>
        <rFont val="MingLiU"/>
        <color rgb="FF000000"/>
        <sz val="10.0"/>
      </rPr>
      <t>與</t>
    </r>
    <r>
      <rPr>
        <rFont val="Arial"/>
        <color rgb="FF000000"/>
        <sz val="10.0"/>
      </rPr>
      <t>TP</t>
    </r>
    <r>
      <rPr>
        <rFont val="MingLiU"/>
        <color rgb="FF000000"/>
        <sz val="10.0"/>
      </rPr>
      <t>之外的戰鬥能力值選一項</t>
    </r>
    <r>
      <rPr>
        <rFont val="Arial"/>
        <color rgb="FF000000"/>
        <sz val="10.0"/>
      </rPr>
      <t>+</t>
    </r>
    <r>
      <rPr>
        <rFont val="MingLiU"/>
        <color rgb="FF000000"/>
        <sz val="10.0"/>
      </rPr>
      <t>《</t>
    </r>
    <r>
      <rPr>
        <rFont val="Arial"/>
        <color rgb="FF000000"/>
        <sz val="10.0"/>
      </rPr>
      <t>1D6</t>
    </r>
    <r>
      <rPr>
        <rFont val="MingLiU"/>
        <color rgb="FF000000"/>
        <sz val="10.0"/>
      </rPr>
      <t>》。但是，受到使用的對象將每回合結束時受到《</t>
    </r>
    <r>
      <rPr>
        <rFont val="Arial"/>
        <color rgb="FF000000"/>
        <sz val="10.0"/>
      </rPr>
      <t>1D6</t>
    </r>
    <r>
      <rPr>
        <rFont val="MingLiU"/>
        <color rgb="FF000000"/>
        <sz val="10.0"/>
      </rPr>
      <t>》的實際傷害。
此效果可以累加。
對象如要抵抗，以精神骰判定。</t>
    </r>
  </si>
  <si>
    <t>三稜鏡之骰</t>
  </si>
  <si>
    <r>
      <rPr>
        <rFont val="MingLiU"/>
        <color rgb="FF000000"/>
        <sz val="10.0"/>
      </rPr>
      <t>一劇本只能發動三次。
這個特技宣言後，自己下一個所使用的特技的攻擊對象數會擴大</t>
    </r>
    <r>
      <rPr>
        <rFont val="Arial"/>
        <color rgb="FF000000"/>
        <sz val="10.0"/>
      </rPr>
      <t>1D6</t>
    </r>
    <r>
      <rPr>
        <rFont val="MingLiU"/>
        <color rgb="FF000000"/>
        <sz val="10.0"/>
      </rPr>
      <t>。無論原本攻擊類型射程為何，都可以攻擊選中的對象。但是，丟出</t>
    </r>
    <r>
      <rPr>
        <rFont val="Arial"/>
        <color rgb="FF000000"/>
        <sz val="10.0"/>
      </rPr>
      <t>6</t>
    </r>
    <r>
      <rPr>
        <rFont val="MingLiU"/>
        <color rgb="FF000000"/>
        <sz val="10.0"/>
      </rPr>
      <t>的話等同於</t>
    </r>
    <r>
      <rPr>
        <rFont val="Arial"/>
        <color rgb="FF000000"/>
        <sz val="10.0"/>
      </rPr>
      <t>0</t>
    </r>
    <r>
      <rPr>
        <rFont val="MingLiU"/>
        <color rgb="FF000000"/>
        <sz val="10.0"/>
      </rPr>
      <t>。
另外丟出的數目也一定得全部選完對象。不選的話，必須受到「沒有選擇人數</t>
    </r>
    <r>
      <rPr>
        <rFont val="Arial"/>
        <color rgb="FF000000"/>
        <sz val="10.0"/>
      </rPr>
      <t>*</t>
    </r>
    <r>
      <rPr>
        <rFont val="MingLiU"/>
        <color rgb="FF000000"/>
        <sz val="10.0"/>
      </rPr>
      <t>異端等級」點的無視防禦實際傷害。</t>
    </r>
  </si>
  <si>
    <t>天啟</t>
  </si>
  <si>
    <r>
      <rPr>
        <rFont val="MingLiU"/>
        <color rgb="FF000000"/>
        <sz val="10.0"/>
      </rPr>
      <t>一劇本只能發動兩次。
對</t>
    </r>
    <r>
      <rPr>
        <rFont val="Arial"/>
        <color rgb="FF000000"/>
        <sz val="10.0"/>
      </rPr>
      <t>GM</t>
    </r>
    <r>
      <rPr>
        <rFont val="MingLiU"/>
        <color rgb="FF000000"/>
        <sz val="10.0"/>
      </rPr>
      <t>詢問一個問題，</t>
    </r>
    <r>
      <rPr>
        <rFont val="Arial"/>
        <color rgb="FF000000"/>
        <sz val="10.0"/>
      </rPr>
      <t>GM</t>
    </r>
    <r>
      <rPr>
        <rFont val="MingLiU"/>
        <color rgb="FF000000"/>
        <sz val="10.0"/>
      </rPr>
      <t>必須告訴你是或否。</t>
    </r>
    <r>
      <rPr>
        <rFont val="Arial"/>
        <color rgb="FF000000"/>
        <sz val="10.0"/>
      </rPr>
      <t xml:space="preserve"> 
</t>
    </r>
    <r>
      <rPr>
        <rFont val="MingLiU"/>
        <color rgb="FF000000"/>
        <sz val="10.0"/>
      </rPr>
      <t>或是重骰一個自己的判定。</t>
    </r>
  </si>
  <si>
    <t>常識外的倔強</t>
  </si>
  <si>
    <t xml:space="preserve">異端LV3以上 </t>
  </si>
  <si>
    <t>你受到的傷害常時減輕《1》D6。以你自己為對象， 每回合結束時HP跟情緒值+《1》D6。</t>
  </si>
  <si>
    <r>
      <rPr>
        <rFont val="Arial"/>
        <color rgb="FF000000"/>
        <sz val="10.0"/>
      </rPr>
      <t>U</t>
    </r>
    <r>
      <rPr>
        <rFont val="MingLiU"/>
        <color rgb="FF000000"/>
        <sz val="10.0"/>
      </rPr>
      <t>的意志</t>
    </r>
  </si>
  <si>
    <t xml:space="preserve">創角時取得 </t>
  </si>
  <si>
    <r>
      <rPr>
        <rFont val="MingLiU"/>
        <color rgb="FF000000"/>
        <sz val="10.0"/>
      </rPr>
      <t>你的角色名稱必須有</t>
    </r>
    <r>
      <rPr>
        <rFont val="Arial"/>
        <color rgb="FF000000"/>
        <sz val="10.0"/>
      </rPr>
      <t>U</t>
    </r>
    <r>
      <rPr>
        <rFont val="MingLiU"/>
        <color rgb="FF000000"/>
        <sz val="10.0"/>
      </rPr>
      <t>或優字。</t>
    </r>
    <r>
      <rPr>
        <rFont val="Arial"/>
        <color rgb="FF000000"/>
        <sz val="10.0"/>
      </rPr>
      <t xml:space="preserve"> 
</t>
    </r>
    <r>
      <rPr>
        <rFont val="MingLiU"/>
        <color rgb="FF000000"/>
        <sz val="10.0"/>
      </rPr>
      <t>當你的級別只有異端時，你可以擁有兩個風格。</t>
    </r>
  </si>
  <si>
    <r>
      <rPr>
        <rFont val="MingLiU"/>
        <color rgb="FF000000"/>
        <sz val="10.0"/>
      </rPr>
      <t>額外特技</t>
    </r>
    <r>
      <rPr>
        <rFont val="Arial"/>
        <color rgb="FF000000"/>
        <sz val="10.0"/>
      </rPr>
      <t xml:space="preserve"> </t>
    </r>
    <r>
      <rPr>
        <rFont val="MingLiU"/>
        <color rgb="FF000000"/>
        <sz val="10.0"/>
      </rPr>
      <t>▲</t>
    </r>
  </si>
  <si>
    <t>戲謔者</t>
  </si>
  <si>
    <t>一場戰鬥只能使用一次。
讓全區域內一人的判定自動失敗。但是下一個自己的判定也必定失敗。</t>
  </si>
  <si>
    <t>也許會有這種好事</t>
  </si>
  <si>
    <t xml:space="preserve">異端LV4以上 </t>
  </si>
  <si>
    <r>
      <rPr>
        <rFont val="MingLiU"/>
        <color rgb="FF000000"/>
        <sz val="10.0"/>
      </rPr>
      <t>一劇本只能使用一次。
當你只擁有異端級別時，可以發揮以下效果：</t>
    </r>
    <r>
      <rPr>
        <rFont val="Arial"/>
        <color rgb="FF000000"/>
        <sz val="10.0"/>
      </rPr>
      <t xml:space="preserve"> 
</t>
    </r>
    <r>
      <rPr>
        <rFont val="MingLiU"/>
        <color rgb="FF000000"/>
        <sz val="10.0"/>
      </rPr>
      <t>當你受到攻擊時，可以放棄迴避骰，將受到的一半傷害隨機轉給你以外的人。</t>
    </r>
  </si>
  <si>
    <t>例外存在</t>
  </si>
  <si>
    <t>你所有異端特技《》數值+2。</t>
  </si>
  <si>
    <t>秘密兵器</t>
  </si>
  <si>
    <t xml:space="preserve">異端LV5以上 </t>
  </si>
  <si>
    <r>
      <rPr>
        <rFont val="MingLiU"/>
        <color rgb="FF000000"/>
        <sz val="10.0"/>
      </rPr>
      <t>劇本開始時，不管種類，可以入手一道具。如果需要職業等級以《</t>
    </r>
    <r>
      <rPr>
        <rFont val="Arial"/>
        <color rgb="FF000000"/>
        <sz val="10.0"/>
      </rPr>
      <t>3</t>
    </r>
    <r>
      <rPr>
        <rFont val="MingLiU"/>
        <color rgb="FF000000"/>
        <sz val="10.0"/>
      </rPr>
      <t>》計算。</t>
    </r>
    <r>
      <rPr>
        <rFont val="Arial"/>
        <color rgb="FF000000"/>
        <sz val="10.0"/>
      </rPr>
      <t xml:space="preserve"> 
</t>
    </r>
    <r>
      <rPr>
        <rFont val="MingLiU"/>
        <color rgb="FF000000"/>
        <sz val="10.0"/>
      </rPr>
      <t>劇本中只能使用一次，不管種類，可以瞬間獲得一道具。如果需要職業等級以《</t>
    </r>
    <r>
      <rPr>
        <rFont val="Arial"/>
        <color rgb="FF000000"/>
        <sz val="10.0"/>
      </rPr>
      <t>3</t>
    </r>
    <r>
      <rPr>
        <rFont val="MingLiU"/>
        <color rgb="FF000000"/>
        <sz val="10.0"/>
      </rPr>
      <t>》計算。
取得的道具在換景時消失，戰鬥的話回合結束時消失。</t>
    </r>
  </si>
  <si>
    <t>毫無迷惑的殺戮</t>
  </si>
  <si>
    <t xml:space="preserve">進攻/共通 </t>
  </si>
  <si>
    <t>"虛數破壞"、"三稜鏡之骰"、"戲謔者"之取得</t>
  </si>
  <si>
    <t>攻擊對象為「你想攻擊的NPC+PC」，並傷害+《1D6》，每增加一名攻擊的PC，傷害往上提升《1D6》。</t>
  </si>
  <si>
    <t>常識無視</t>
  </si>
  <si>
    <t xml:space="preserve">異端LV6以上 </t>
  </si>
  <si>
    <t>攻擊無論類型變更為全區域射程，你可以不受阻礙自由移動。以你自己為對象。該回合行動點與傷害增加《4D6》。</t>
  </si>
  <si>
    <t>時光失衡</t>
  </si>
  <si>
    <r>
      <rPr>
        <rFont val="MingLiU"/>
        <color rgb="FF000000"/>
        <sz val="10.0"/>
      </rPr>
      <t>每當戰鬥開始時，丟</t>
    </r>
    <r>
      <rPr>
        <rFont val="Arial"/>
        <color rgb="FF000000"/>
        <sz val="10.0"/>
      </rPr>
      <t>1D6</t>
    </r>
    <r>
      <rPr>
        <rFont val="MingLiU"/>
        <color rgb="FF000000"/>
        <sz val="10.0"/>
      </rPr>
      <t>，</t>
    </r>
    <r>
      <rPr>
        <rFont val="Arial"/>
        <color rgb="FF000000"/>
        <sz val="10.0"/>
      </rPr>
      <t>3</t>
    </r>
    <r>
      <rPr>
        <rFont val="MingLiU"/>
        <color rgb="FF000000"/>
        <sz val="10.0"/>
      </rPr>
      <t>以下則該回合所有人行動骰完後跳過準備階段，且你本回合的判定上升</t>
    </r>
    <r>
      <rPr>
        <rFont val="Arial"/>
        <color rgb="FF000000"/>
        <sz val="10.0"/>
      </rPr>
      <t>3</t>
    </r>
    <r>
      <rPr>
        <rFont val="MingLiU"/>
        <color rgb="FF000000"/>
        <sz val="10.0"/>
      </rPr>
      <t>。</t>
    </r>
    <r>
      <rPr>
        <rFont val="Arial"/>
        <color rgb="FF000000"/>
        <sz val="10.0"/>
      </rPr>
      <t xml:space="preserve"> 
</t>
    </r>
    <r>
      <rPr>
        <rFont val="MingLiU"/>
        <color rgb="FF000000"/>
        <sz val="10.0"/>
      </rPr>
      <t>若否，你本回合的判定下降</t>
    </r>
    <r>
      <rPr>
        <rFont val="Arial"/>
        <color rgb="FF000000"/>
        <sz val="10.0"/>
      </rPr>
      <t>1</t>
    </r>
    <r>
      <rPr>
        <rFont val="MingLiU"/>
        <color rgb="FF000000"/>
        <sz val="10.0"/>
      </rPr>
      <t>。</t>
    </r>
  </si>
  <si>
    <r>
      <rPr>
        <rFont val="MingLiU"/>
        <color rgb="FF000000"/>
        <sz val="10.0"/>
      </rPr>
      <t>固有結界‧</t>
    </r>
    <r>
      <rPr>
        <rFont val="Arial"/>
        <color rgb="FF000000"/>
        <sz val="10.0"/>
      </rPr>
      <t>ALTER</t>
    </r>
  </si>
  <si>
    <r>
      <rPr>
        <rFont val="MingLiU"/>
        <color rgb="FF000000"/>
        <sz val="10.0"/>
      </rPr>
      <t>代價傷害</t>
    </r>
    <r>
      <rPr>
        <rFont val="Arial"/>
        <color rgb="FF000000"/>
        <sz val="10.0"/>
      </rPr>
      <t>30</t>
    </r>
  </si>
  <si>
    <r>
      <rPr>
        <rFont val="MingLiU"/>
        <color rgb="FF000000"/>
        <sz val="10.0"/>
      </rPr>
      <t>戰鬥開始時，封印參加者</t>
    </r>
    <r>
      <rPr>
        <rFont val="Arial"/>
        <color rgb="FF000000"/>
        <sz val="10.0"/>
      </rPr>
      <t>1D3</t>
    </r>
    <r>
      <rPr>
        <rFont val="MingLiU"/>
        <color rgb="FF000000"/>
        <sz val="10.0"/>
      </rPr>
      <t>種戰鬥分類技能</t>
    </r>
    <r>
      <rPr>
        <rFont val="Arial"/>
        <color rgb="FF000000"/>
        <sz val="10.0"/>
      </rPr>
      <t>(</t>
    </r>
    <r>
      <rPr>
        <rFont val="MingLiU"/>
        <color rgb="FF000000"/>
        <sz val="10.0"/>
      </rPr>
      <t>依序是近戰、遠戰、共通</t>
    </r>
    <r>
      <rPr>
        <rFont val="Arial"/>
        <color rgb="FF000000"/>
        <sz val="10.0"/>
      </rPr>
      <t>)</t>
    </r>
    <r>
      <rPr>
        <rFont val="MingLiU"/>
        <color rgb="FF000000"/>
        <sz val="10.0"/>
      </rPr>
      <t>。
封印參加者</t>
    </r>
    <r>
      <rPr>
        <rFont val="Arial"/>
        <color rgb="FF000000"/>
        <sz val="10.0"/>
      </rPr>
      <t>1D4</t>
    </r>
    <r>
      <rPr>
        <rFont val="MingLiU"/>
        <color rgb="FF000000"/>
        <sz val="10.0"/>
      </rPr>
      <t>種分類技能</t>
    </r>
    <r>
      <rPr>
        <rFont val="Arial"/>
        <color rgb="FF000000"/>
        <sz val="10.0"/>
      </rPr>
      <t>(</t>
    </r>
    <r>
      <rPr>
        <rFont val="MingLiU"/>
        <color rgb="FF000000"/>
        <sz val="10.0"/>
      </rPr>
      <t>依序是進攻、防禦、中斷、通用</t>
    </r>
    <r>
      <rPr>
        <rFont val="Arial"/>
        <color rgb="FF000000"/>
        <sz val="10.0"/>
      </rPr>
      <t>)</t>
    </r>
    <r>
      <rPr>
        <rFont val="MingLiU"/>
        <color rgb="FF000000"/>
        <sz val="10.0"/>
      </rPr>
      <t>。</t>
    </r>
    <r>
      <rPr>
        <rFont val="Arial"/>
        <color rgb="FF000000"/>
        <sz val="10.0"/>
      </rPr>
      <t xml:space="preserve"> 
</t>
    </r>
    <r>
      <rPr>
        <rFont val="MingLiU"/>
        <color rgb="FF000000"/>
        <sz val="10.0"/>
      </rPr>
      <t>使用被封印的分類技能時，需額外付出《你的異端等級》</t>
    </r>
    <r>
      <rPr>
        <rFont val="Arial"/>
        <color rgb="FF000000"/>
        <sz val="10.0"/>
      </rPr>
      <t>D6</t>
    </r>
    <r>
      <rPr>
        <rFont val="MingLiU"/>
        <color rgb="FF000000"/>
        <sz val="10.0"/>
      </rPr>
      <t>點代價傷害。
每到準備階段就重新判定這回合遭到封印的技能。</t>
    </r>
    <r>
      <rPr>
        <rFont val="Arial"/>
        <color rgb="FF000000"/>
        <sz val="10.0"/>
      </rPr>
      <t xml:space="preserve"> 
</t>
    </r>
    <r>
      <rPr>
        <rFont val="MingLiU"/>
        <color rgb="FF000000"/>
        <sz val="10.0"/>
      </rPr>
      <t>這個結界可以維持你的異端等級</t>
    </r>
    <r>
      <rPr>
        <rFont val="Arial"/>
        <color rgb="FF000000"/>
        <sz val="10.0"/>
      </rPr>
      <t>-5</t>
    </r>
    <r>
      <rPr>
        <rFont val="MingLiU"/>
        <color rgb="FF000000"/>
        <sz val="10.0"/>
      </rPr>
      <t>回合。</t>
    </r>
  </si>
  <si>
    <t>左道</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</si>
  <si>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</si>
  <si>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</si>
  <si>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等級上升之時、選取一個喜歡的特技。3、6、9級，可以取得兩個特技。</t>
  </si>
  <si>
    <t>隨選武器</t>
  </si>
  <si>
    <t xml:space="preserve">攻擊類型/近戰 </t>
  </si>
  <si>
    <t>當你沒有其他攻擊類型時，你以能夠隨手抄起的物品作為武器，給予對象《2D6》點傷害。攻擊之後該物品無法再使用。這個技能無法作反擊使用。</t>
  </si>
  <si>
    <t>意外襲擊</t>
  </si>
  <si>
    <t>一個場景一次，使用未曾用過的攻擊類型時，命中與傷害增加《1D6》。</t>
  </si>
  <si>
    <t>混亂戰術</t>
  </si>
  <si>
    <t>自己設定一個合理的方式，製造出《1D6+1》個人在做些什麼行動的錯覺，混亂他人。錯覺的位置不限於你所在的場景，但需取得GM的同意。由於只是「好像有人在行動」的錯覺，不會因此達成什麼行為。 一般情形下效果持續到時間段轉換，特殊場景中持續到場景終了。戰鬥中無法使用。</t>
  </si>
  <si>
    <t>內部情報</t>
  </si>
  <si>
    <t xml:space="preserve">10（推論正確時） </t>
  </si>
  <si>
    <t>一劇本[左道等級/2]次，你能得知一個假設的對或錯。</t>
  </si>
  <si>
    <t>反向推論</t>
  </si>
  <si>
    <t>當你在「混亂戰術」效果期間，進行搜查/情報判定時，可以指定自己所在地以外的場景。</t>
  </si>
  <si>
    <t>一個劇本可以使用[你的左道等級]次，指定同區域一個角色，消去該角色的一個狀態。</t>
  </si>
  <si>
    <t>同行者</t>
  </si>
  <si>
    <t>指定一個你放置兩個白色感情的對象（或者劇情發展上相當且GM同意的對象），一起行動時你的達成值+2。 你可以更換此技能的對象，但是同時最多只有[你的左道等級/2]人。效果不會累加。你可以再取得一個同行者相關的技能。</t>
  </si>
  <si>
    <t>牽制攻擊</t>
  </si>
  <si>
    <t>當你在同行者之前攻擊時，你本次命中必定失敗，同行者的達成值+4。</t>
  </si>
  <si>
    <t>戰術分配</t>
  </si>
  <si>
    <r>
      <rPr>
        <rFont val="MingLiU"/>
        <color rgb="FF000000"/>
        <sz val="10.0"/>
      </rPr>
      <t>代價傷害</t>
    </r>
    <r>
      <rPr>
        <rFont val="Arial"/>
        <color rgb="FF000000"/>
        <sz val="10.0"/>
      </rPr>
      <t>2</t>
    </r>
    <r>
      <rPr>
        <rFont val="MingLiU"/>
        <color rgb="FF000000"/>
        <sz val="10.0"/>
      </rPr>
      <t>點</t>
    </r>
    <r>
      <rPr>
        <rFont val="Arial"/>
        <color rgb="FF000000"/>
        <sz val="10.0"/>
      </rPr>
      <t xml:space="preserve"> </t>
    </r>
  </si>
  <si>
    <t>當你接在同行者下一個行動，且使用不同命中判定的攻擊類型，達成值+2。</t>
  </si>
  <si>
    <t>聲東擊西</t>
  </si>
  <si>
    <r>
      <rPr>
        <rFont val="MingLiU"/>
        <color rgb="FF000000"/>
        <sz val="10.0"/>
      </rPr>
      <t>代價傷害</t>
    </r>
    <r>
      <rPr>
        <rFont val="Arial"/>
        <color rgb="FF000000"/>
        <sz val="10.0"/>
      </rPr>
      <t>2</t>
    </r>
    <r>
      <rPr>
        <rFont val="MingLiU"/>
        <color rgb="FF000000"/>
        <sz val="10.0"/>
      </rPr>
      <t>點</t>
    </r>
    <r>
      <rPr>
        <rFont val="Arial"/>
        <color rgb="FF000000"/>
        <sz val="10.0"/>
      </rPr>
      <t xml:space="preserve"> </t>
    </r>
  </si>
  <si>
    <t>當你與同行者同時攻擊(或同行動點進行攻擊)時，同行者的達成值+2。</t>
  </si>
  <si>
    <t>亂戰脫離</t>
  </si>
  <si>
    <t xml:space="preserve">特殊 </t>
  </si>
  <si>
    <t>這個技能不是攻擊類型，但以攻擊類型的方式使用。當你以此技能對複數攻擊宣言反擊且成功時、或者緊接複數攻擊下一個行動使用時，通過12-《知覺》的體力判定可以馬上逃離戰鬥。反擊時以你最高的戰鬥值作命中判定。</t>
  </si>
  <si>
    <t>戰術轉進</t>
  </si>
  <si>
    <t>使用亂戰脫離時可發動，你可以帶同行者一同逃跑，每一個同行者判定難度+2。</t>
  </si>
  <si>
    <t>立體地圖</t>
  </si>
  <si>
    <r>
      <rPr>
        <rFont val="MingLiU"/>
        <color rgb="FF000000"/>
        <sz val="10.0"/>
      </rPr>
      <t>代價</t>
    </r>
    <r>
      <rPr>
        <rFont val="Arial"/>
        <color rgb="FF000000"/>
        <sz val="10.0"/>
      </rPr>
      <t>5TP</t>
    </r>
    <r>
      <rPr>
        <rFont val="MingLiU"/>
        <color rgb="FF000000"/>
        <sz val="10.0"/>
      </rPr>
      <t>（準備階段）</t>
    </r>
    <r>
      <rPr>
        <rFont val="Arial"/>
        <color rgb="FF000000"/>
        <sz val="10.0"/>
      </rPr>
      <t xml:space="preserve"> </t>
    </r>
  </si>
  <si>
    <t>你懂得使用他人無法行走之路徑的技巧，地圖移動時時間縮短為50%。在準備階段使用時，你可以增加5點行動或3點逃跑達成值，但一次只能選一個使用。選擇逃跑時，無法和戰術轉進一起使用。</t>
  </si>
  <si>
    <t>隱藏武器</t>
  </si>
  <si>
    <t xml:space="preserve">5（使用攻擊類型命中時） </t>
  </si>
  <si>
    <r>
      <rPr>
        <rFont val="MingLiU"/>
        <color rgb="FF000000"/>
        <sz val="10.0"/>
      </rPr>
      <t>指定一個攻擊類型，視為不存在，你能指定的數量為</t>
    </r>
    <r>
      <rPr>
        <rFont val="Arial"/>
        <color rgb="FF000000"/>
        <sz val="10.0"/>
      </rPr>
      <t>[</t>
    </r>
    <r>
      <rPr>
        <rFont val="MingLiU"/>
        <color rgb="FF000000"/>
        <sz val="10.0"/>
      </rPr>
      <t>你的左道等級</t>
    </r>
    <r>
      <rPr>
        <rFont val="Arial"/>
        <color rgb="FF000000"/>
        <sz val="10.0"/>
      </rPr>
      <t>/2]</t>
    </r>
    <r>
      <rPr>
        <rFont val="MingLiU"/>
        <color rgb="FF000000"/>
        <sz val="10.0"/>
      </rPr>
      <t>個。</t>
    </r>
    <r>
      <rPr>
        <rFont val="Arial"/>
        <color rgb="FF000000"/>
        <sz val="10.0"/>
      </rPr>
      <t xml:space="preserve"> 
</t>
    </r>
    <r>
      <rPr>
        <rFont val="MingLiU"/>
        <color rgb="FF000000"/>
        <sz val="10.0"/>
      </rPr>
      <t>當你第一次使用該攻擊類型時，命中</t>
    </r>
    <r>
      <rPr>
        <rFont val="Arial"/>
        <color rgb="FF000000"/>
        <sz val="10.0"/>
      </rPr>
      <t>+1D6</t>
    </r>
    <r>
      <rPr>
        <rFont val="MingLiU"/>
        <color rgb="FF000000"/>
        <sz val="10.0"/>
      </rPr>
      <t>，並失去隱藏武器的效果，此後無法再隱藏。</t>
    </r>
    <r>
      <rPr>
        <rFont val="Arial"/>
        <color rgb="FF000000"/>
        <sz val="10.0"/>
      </rPr>
      <t xml:space="preserve"> 
</t>
    </r>
    <r>
      <rPr>
        <rFont val="MingLiU"/>
        <color rgb="FF000000"/>
        <sz val="10.0"/>
      </rPr>
      <t>此技能無法與隨選武器和現地改造搭配使用。</t>
    </r>
  </si>
  <si>
    <t>竊聽</t>
  </si>
  <si>
    <r>
      <rPr>
        <rFont val="MingLiU"/>
        <color rgb="FF000000"/>
        <sz val="10.0"/>
      </rPr>
      <t>指定一個密閉環境（上下四方有牆，但不必是密室狀態），設置一個竊聽裝置，你能同時設置</t>
    </r>
    <r>
      <rPr>
        <rFont val="Arial"/>
        <color rgb="FF000000"/>
        <sz val="10.0"/>
      </rPr>
      <t>[</t>
    </r>
    <r>
      <rPr>
        <rFont val="MingLiU"/>
        <color rgb="FF000000"/>
        <sz val="10.0"/>
      </rPr>
      <t>你的左道等級</t>
    </r>
    <r>
      <rPr>
        <rFont val="Arial"/>
        <color rgb="FF000000"/>
        <sz val="10.0"/>
      </rPr>
      <t>/3]</t>
    </r>
    <r>
      <rPr>
        <rFont val="MingLiU"/>
        <color rgb="FF000000"/>
        <sz val="10.0"/>
      </rPr>
      <t>個。</t>
    </r>
    <r>
      <rPr>
        <rFont val="Arial"/>
        <color rgb="FF000000"/>
        <sz val="10.0"/>
      </rPr>
      <t xml:space="preserve"> 
</t>
    </r>
    <r>
      <rPr>
        <rFont val="MingLiU"/>
        <color rgb="FF000000"/>
        <sz val="10.0"/>
      </rPr>
      <t>設置時擲《</t>
    </r>
    <r>
      <rPr>
        <rFont val="Arial"/>
        <color rgb="FF000000"/>
        <sz val="10.0"/>
      </rPr>
      <t>2D6+[</t>
    </r>
    <r>
      <rPr>
        <rFont val="MingLiU"/>
        <color rgb="FF000000"/>
        <sz val="10.0"/>
      </rPr>
      <t>你的左道等級</t>
    </r>
    <r>
      <rPr>
        <rFont val="Arial"/>
        <color rgb="FF000000"/>
        <sz val="10.0"/>
      </rPr>
      <t>]+[</t>
    </r>
    <r>
      <rPr>
        <rFont val="MingLiU"/>
        <color rgb="FF000000"/>
        <sz val="10.0"/>
      </rPr>
      <t>理智</t>
    </r>
    <r>
      <rPr>
        <rFont val="Arial"/>
        <color rgb="FF000000"/>
        <sz val="10.0"/>
      </rPr>
      <t>]</t>
    </r>
    <r>
      <rPr>
        <rFont val="MingLiU"/>
        <color rgb="FF000000"/>
        <sz val="10.0"/>
      </rPr>
      <t>》作為基本值，察覺的判定為對方的知覺對抗你的基本值。</t>
    </r>
  </si>
  <si>
    <t>常住戰陣</t>
  </si>
  <si>
    <t>你所有技能中使用左道等級計算的項目，以等級+2去計算。</t>
  </si>
  <si>
    <r>
      <rPr>
        <rFont val="MingLiU"/>
        <color rgb="FF000000"/>
        <sz val="10.0"/>
      </rPr>
      <t>額外特技</t>
    </r>
    <r>
      <rPr>
        <rFont val="Arial"/>
        <color rgb="FF000000"/>
        <sz val="10.0"/>
      </rPr>
      <t xml:space="preserve"> </t>
    </r>
    <r>
      <rPr>
        <rFont val="MingLiU"/>
        <color rgb="FF000000"/>
        <sz val="10.0"/>
      </rPr>
      <t>▲</t>
    </r>
  </si>
  <si>
    <t>超加速</t>
  </si>
  <si>
    <t xml:space="preserve">左道等級3以上 </t>
  </si>
  <si>
    <r>
      <rPr>
        <rFont val="MingLiU"/>
        <color rgb="FF000000"/>
        <sz val="10.0"/>
      </rPr>
      <t>一個場景一次。</t>
    </r>
    <r>
      <rPr>
        <rFont val="Arial"/>
        <color rgb="FF000000"/>
        <sz val="10.0"/>
      </rPr>
      <t xml:space="preserve"> 
</t>
    </r>
    <r>
      <rPr>
        <rFont val="MingLiU"/>
        <color rgb="FF000000"/>
        <sz val="10.0"/>
      </rPr>
      <t>戰鬥中你可以從任意區域對敵方後排進行攻擊，並在攻擊結束後回到任意區域。</t>
    </r>
    <r>
      <rPr>
        <rFont val="Arial"/>
        <color rgb="FF000000"/>
        <sz val="10.0"/>
      </rPr>
      <t xml:space="preserve"> 
</t>
    </r>
    <r>
      <rPr>
        <rFont val="MingLiU"/>
        <color rgb="FF000000"/>
        <sz val="10.0"/>
      </rPr>
      <t>如你在相同場景但不在戰鬥之中，你可以立刻加入戰鬥對敵方後排進行攻擊，並在攻擊結束後回到任意區域。</t>
    </r>
    <r>
      <rPr>
        <rFont val="Arial"/>
        <color rgb="FF000000"/>
        <sz val="10.0"/>
      </rPr>
      <t xml:space="preserve"> 
</t>
    </r>
    <r>
      <rPr>
        <rFont val="MingLiU"/>
        <color rgb="FF000000"/>
        <sz val="10.0"/>
      </rPr>
      <t>如須判定距離，原則上為一次行動能移動的距離，如有取得立體地圖，移動距離為兩倍。</t>
    </r>
  </si>
  <si>
    <t>對人陷阱</t>
  </si>
  <si>
    <t xml:space="preserve">左道等級3以上，取得竊聽。 </t>
  </si>
  <si>
    <t xml:space="preserve">指定一個密閉環境（上下四方有牆，但不必是密室狀態），設置一個對人陷阱，當他人進入此空間時發動，造成《2D6+ [你的左道等級/2]》的傷害，你能同時設置[你的左道等級/3]個。 
設置時擲《2D6+[你的左道等級]+[理智]》作為基本值，察覺的判定為對方的知覺對抗你的基本值。 </t>
  </si>
  <si>
    <t>殺戮地帶</t>
  </si>
  <si>
    <t>左道等級4以上，取得戰術分配或聲東擊西。</t>
  </si>
  <si>
    <r>
      <rPr>
        <rFont val="MingLiU"/>
        <color rgb="FF000000"/>
        <sz val="10.0"/>
      </rPr>
      <t>實際傷害後效果。當你使用戰術分配或聲東擊西的攻擊造成傷害時，你能夠再進行一次傷害值骰。</t>
    </r>
    <r>
      <rPr>
        <rFont val="Arial"/>
        <color rgb="FF000000"/>
        <sz val="10.0"/>
      </rPr>
      <t xml:space="preserve"> 
</t>
    </r>
    <r>
      <rPr>
        <rFont val="MingLiU"/>
        <color rgb="FF000000"/>
        <sz val="10.0"/>
      </rPr>
      <t>此技能與戰術分配或聲東擊西視為一個技能。</t>
    </r>
  </si>
  <si>
    <t>作戰聯攜</t>
  </si>
  <si>
    <t xml:space="preserve">左道等級3以上，取得同行者。 </t>
  </si>
  <si>
    <r>
      <rPr>
        <rFont val="MingLiU"/>
        <color rgb="FF000000"/>
        <sz val="10.0"/>
      </rPr>
      <t>一場戰鬥一次，當你命中判定結束時，發動此技能可以讓同行者立刻進行攻擊（視為同時攻擊）。</t>
    </r>
    <r>
      <rPr>
        <rFont val="Arial"/>
        <color rgb="FF000000"/>
        <sz val="10.0"/>
      </rPr>
      <t xml:space="preserve"> 
</t>
    </r>
    <r>
      <rPr>
        <rFont val="MingLiU"/>
        <color rgb="FF000000"/>
        <sz val="10.0"/>
      </rPr>
      <t>該次攻擊不能使用有待機延遲的技能，但如果此時同行者已在待機中，則視為待機完成。</t>
    </r>
    <r>
      <rPr>
        <rFont val="Arial"/>
        <color rgb="FF000000"/>
        <sz val="10.0"/>
      </rPr>
      <t xml:space="preserve"> </t>
    </r>
  </si>
  <si>
    <t>工學技術</t>
  </si>
  <si>
    <t xml:space="preserve">左道等級4以上，取得竊聽。 </t>
  </si>
  <si>
    <r>
      <rPr>
        <rFont val="MingLiU"/>
        <color rgb="FF000000"/>
        <sz val="10.0"/>
      </rPr>
      <t>你的技能竊聽和對人陷阱的設置數量變更為</t>
    </r>
    <r>
      <rPr>
        <rFont val="Arial"/>
        <color rgb="FF000000"/>
        <sz val="10.0"/>
      </rPr>
      <t>[</t>
    </r>
    <r>
      <rPr>
        <rFont val="MingLiU"/>
        <color rgb="FF000000"/>
        <sz val="10.0"/>
      </rPr>
      <t>你的左道等級</t>
    </r>
    <r>
      <rPr>
        <rFont val="Arial"/>
        <color rgb="FF000000"/>
        <sz val="10.0"/>
      </rPr>
      <t>/3*2]</t>
    </r>
    <r>
      <rPr>
        <rFont val="MingLiU"/>
        <color rgb="FF000000"/>
        <sz val="10.0"/>
      </rPr>
      <t>個。</t>
    </r>
    <r>
      <rPr>
        <rFont val="Arial"/>
        <color rgb="FF000000"/>
        <sz val="10.0"/>
      </rPr>
      <t xml:space="preserve"> 
</t>
    </r>
    <r>
      <rPr>
        <rFont val="MingLiU"/>
        <color rgb="FF000000"/>
        <sz val="10.0"/>
      </rPr>
      <t>對人陷阱能選擇以遙控引爆。</t>
    </r>
  </si>
  <si>
    <t>特化專精</t>
  </si>
  <si>
    <t xml:space="preserve">左道等級4以上 </t>
  </si>
  <si>
    <r>
      <rPr>
        <rFont val="MingLiU"/>
        <color rgb="FF000000"/>
        <sz val="10.0"/>
      </rPr>
      <t>以你擁有的一個級別為對象，可以用</t>
    </r>
    <r>
      <rPr>
        <rFont val="Arial"/>
        <color rgb="FF000000"/>
        <sz val="10.0"/>
      </rPr>
      <t>[</t>
    </r>
    <r>
      <rPr>
        <rFont val="MingLiU"/>
        <color rgb="FF000000"/>
        <sz val="10.0"/>
      </rPr>
      <t>你的左道等級</t>
    </r>
    <r>
      <rPr>
        <rFont val="Arial"/>
        <color rgb="FF000000"/>
        <sz val="10.0"/>
      </rPr>
      <t>]+[</t>
    </r>
    <r>
      <rPr>
        <rFont val="MingLiU"/>
        <color rgb="FF000000"/>
        <sz val="10.0"/>
      </rPr>
      <t>該級別等級</t>
    </r>
    <r>
      <rPr>
        <rFont val="Arial"/>
        <color rgb="FF000000"/>
        <sz val="10.0"/>
      </rPr>
      <t>]</t>
    </r>
    <r>
      <rPr>
        <rFont val="MingLiU"/>
        <color rgb="FF000000"/>
        <sz val="10.0"/>
      </rPr>
      <t>取得一個技能（仍然要滿足其他取得限制）。</t>
    </r>
    <r>
      <rPr>
        <rFont val="Arial"/>
        <color rgb="FF000000"/>
        <sz val="10.0"/>
      </rPr>
      <t xml:space="preserve"> 
</t>
    </r>
    <r>
      <rPr>
        <rFont val="MingLiU"/>
        <color rgb="FF000000"/>
        <sz val="10.0"/>
      </rPr>
      <t>此後該級別技能中使用</t>
    </r>
    <r>
      <rPr>
        <rFont val="Arial"/>
        <color rgb="FF000000"/>
        <sz val="10.0"/>
      </rPr>
      <t>[</t>
    </r>
    <r>
      <rPr>
        <rFont val="MingLiU"/>
        <color rgb="FF000000"/>
        <sz val="10.0"/>
      </rPr>
      <t>等級</t>
    </r>
    <r>
      <rPr>
        <rFont val="Arial"/>
        <color rgb="FF000000"/>
        <sz val="10.0"/>
      </rPr>
      <t>]</t>
    </r>
    <r>
      <rPr>
        <rFont val="MingLiU"/>
        <color rgb="FF000000"/>
        <sz val="10.0"/>
      </rPr>
      <t>的敘述加上</t>
    </r>
    <r>
      <rPr>
        <rFont val="Arial"/>
        <color rgb="FF000000"/>
        <sz val="10.0"/>
      </rPr>
      <t>[</t>
    </r>
    <r>
      <rPr>
        <rFont val="MingLiU"/>
        <color rgb="FF000000"/>
        <sz val="10.0"/>
      </rPr>
      <t>你的左道等級</t>
    </r>
    <r>
      <rPr>
        <rFont val="Arial"/>
        <color rgb="FF000000"/>
        <sz val="10.0"/>
      </rPr>
      <t>/2]</t>
    </r>
    <r>
      <rPr>
        <rFont val="MingLiU"/>
        <color rgb="FF000000"/>
        <sz val="10.0"/>
      </rPr>
      <t>，你無法再取得該級別的技能。</t>
    </r>
    <r>
      <rPr>
        <rFont val="Arial"/>
        <color rgb="FF000000"/>
        <sz val="10.0"/>
      </rPr>
      <t xml:space="preserve"> 
</t>
    </r>
    <r>
      <rPr>
        <rFont val="MingLiU"/>
        <color rgb="FF000000"/>
        <sz val="10.0"/>
      </rPr>
      <t>本技能不適用常住戰陣的效果。</t>
    </r>
  </si>
  <si>
    <t>天命</t>
  </si>
  <si>
    <t xml:space="preserve">通常／準備 </t>
  </si>
  <si>
    <t xml:space="preserve">創造角色時限定獲得，HP上限-10 </t>
  </si>
  <si>
    <t>你所有左道技能的《》+[意志]。</t>
  </si>
  <si>
    <t>呪法兵裝</t>
  </si>
  <si>
    <t xml:space="preserve">左道等級6以上，取得天命 </t>
  </si>
  <si>
    <r>
      <rPr>
        <rFont val="MingLiU"/>
        <color rgb="FF000000"/>
        <sz val="10.0"/>
      </rPr>
      <t>最高可裝填五發彈藥，指定一個對象及彈藥數，每一發可造成</t>
    </r>
    <r>
      <rPr>
        <rFont val="Arial"/>
        <color rgb="FF000000"/>
        <sz val="10.0"/>
      </rPr>
      <t>2D6</t>
    </r>
    <r>
      <rPr>
        <rFont val="MingLiU"/>
        <color rgb="FF000000"/>
        <sz val="10.0"/>
      </rPr>
      <t>的傷害。</t>
    </r>
    <r>
      <rPr>
        <rFont val="Arial"/>
        <color rgb="FF000000"/>
        <sz val="10.0"/>
      </rPr>
      <t xml:space="preserve"> 
</t>
    </r>
    <r>
      <rPr>
        <rFont val="MingLiU"/>
        <color rgb="FF000000"/>
        <sz val="10.0"/>
      </rPr>
      <t>本技能可以視作銃與其他技能搭配。在戰鬥中填裝一枚彈藥需消耗一個準備或主要階段。</t>
    </r>
    <r>
      <rPr>
        <rFont val="Arial"/>
        <color rgb="FF000000"/>
        <sz val="10.0"/>
      </rPr>
      <t xml:space="preserve"> 
</t>
    </r>
    <r>
      <rPr>
        <rFont val="MingLiU"/>
        <color rgb="FF000000"/>
        <sz val="10.0"/>
      </rPr>
      <t>你可以將一個負面感情填裝為彈藥，獲得「攻擊力增加絆值」或「命中增加絆值」之一的效果，發射之後該感情消失。當感情的對象為同行者時，可以使用正面感情，並且不會消失。</t>
    </r>
    <r>
      <rPr>
        <rFont val="Arial"/>
        <color rgb="FF000000"/>
        <sz val="10.0"/>
      </rPr>
      <t xml:space="preserve"> 
</t>
    </r>
    <r>
      <rPr>
        <rFont val="MingLiU"/>
        <color rgb="FF000000"/>
        <sz val="10.0"/>
      </rPr>
      <t>如果你是背反者，發射後感情不會消失，而實傷後對象的未使用感情增加該項感情。</t>
    </r>
    <r>
      <rPr>
        <rFont val="Arial"/>
        <color rgb="FF000000"/>
        <sz val="10.0"/>
      </rPr>
      <t xml:space="preserve"> 
</t>
    </r>
    <r>
      <rPr>
        <rFont val="MingLiU"/>
        <color rgb="FF000000"/>
        <sz val="10.0"/>
      </rPr>
      <t>不能同時使用兩枚以上填裝感情的彈藥，也不能同時使用銀彈和填裝感情的彈藥。</t>
    </r>
  </si>
  <si>
    <t>高速裝填</t>
  </si>
  <si>
    <t xml:space="preserve">左道等級6以上，取得呪法兵裝 </t>
  </si>
  <si>
    <t>通過一個目標值為12的2D6+[左道等級]判定。成功的話在準備階段每消耗10點行動，可以裝填一發彈藥。</t>
  </si>
  <si>
    <t>兵裝改造</t>
  </si>
  <si>
    <r>
      <rPr>
        <rFont val="MingLiU"/>
        <color rgb="FF000000"/>
        <sz val="10.0"/>
      </rPr>
      <t>藉由改造呪法兵裝，你能夠透過兵裝發射其他攻擊類型</t>
    </r>
    <r>
      <rPr>
        <rFont val="Arial"/>
        <color rgb="FF000000"/>
        <sz val="10.0"/>
      </rPr>
      <t>/</t>
    </r>
    <r>
      <rPr>
        <rFont val="MingLiU"/>
        <color rgb="FF000000"/>
        <sz val="10.0"/>
      </rPr>
      <t>射擊的技能，並在攻擊上附加一個負面感情，獲得「攻擊力增加絆值」或「命中增加絆值」之一的效果，發射之後該感情消失。</t>
    </r>
    <r>
      <rPr>
        <rFont val="Arial"/>
        <color rgb="FF000000"/>
        <sz val="10.0"/>
      </rPr>
      <t xml:space="preserve"> 
</t>
    </r>
    <r>
      <rPr>
        <rFont val="MingLiU"/>
        <color rgb="FF000000"/>
        <sz val="10.0"/>
      </rPr>
      <t>當感情的對象為同行者時，可以使用正面感情，並且不會消失。</t>
    </r>
    <r>
      <rPr>
        <rFont val="Arial"/>
        <color rgb="FF000000"/>
        <sz val="10.0"/>
      </rPr>
      <t xml:space="preserve"> 
</t>
    </r>
    <r>
      <rPr>
        <rFont val="MingLiU"/>
        <color rgb="FF000000"/>
        <sz val="10.0"/>
      </rPr>
      <t>如果你是背反者，發射後感情不會消失，而實傷後對象的未使用感情增加該項感情。</t>
    </r>
    <r>
      <rPr>
        <rFont val="Arial"/>
        <color rgb="FF000000"/>
        <sz val="10.0"/>
      </rPr>
      <t xml:space="preserve"> 
</t>
    </r>
    <r>
      <rPr>
        <rFont val="MingLiU"/>
        <color rgb="FF000000"/>
        <sz val="10.0"/>
      </rPr>
      <t>使用此技能時，不能使用呪法兵裝。</t>
    </r>
  </si>
  <si>
    <t>現地改造</t>
  </si>
  <si>
    <r>
      <rPr>
        <rFont val="MingLiU"/>
        <color rgb="FF000000"/>
        <sz val="10.0"/>
      </rPr>
      <t>代價傷害</t>
    </r>
    <r>
      <rPr>
        <rFont val="Arial"/>
        <color rgb="FF000000"/>
        <sz val="10.0"/>
      </rPr>
      <t>20</t>
    </r>
  </si>
  <si>
    <t xml:space="preserve">左道等級6以上，取得隨選武器 </t>
  </si>
  <si>
    <r>
      <rPr>
        <rFont val="MingLiU"/>
        <color rgb="FF000000"/>
        <sz val="10.0"/>
      </rPr>
      <t>一劇本可以使用</t>
    </r>
    <r>
      <rPr>
        <rFont val="Arial"/>
        <color rgb="FF000000"/>
        <sz val="10.0"/>
      </rPr>
      <t>[</t>
    </r>
    <r>
      <rPr>
        <rFont val="MingLiU"/>
        <color rgb="FF000000"/>
        <sz val="10.0"/>
      </rPr>
      <t>你的左道等級</t>
    </r>
    <r>
      <rPr>
        <rFont val="Arial"/>
        <color rgb="FF000000"/>
        <sz val="10.0"/>
      </rPr>
      <t>/2]</t>
    </r>
    <r>
      <rPr>
        <rFont val="MingLiU"/>
        <color rgb="FF000000"/>
        <sz val="10.0"/>
      </rPr>
      <t>次。</t>
    </r>
    <r>
      <rPr>
        <rFont val="Arial"/>
        <color rgb="FF000000"/>
        <sz val="10.0"/>
      </rPr>
      <t xml:space="preserve"> 
</t>
    </r>
    <r>
      <rPr>
        <rFont val="MingLiU"/>
        <color rgb="FF000000"/>
        <sz val="10.0"/>
      </rPr>
      <t>此次攻擊為全區域攻擊，以同行者以外所有人為對象。</t>
    </r>
    <r>
      <rPr>
        <rFont val="Arial"/>
        <color rgb="FF000000"/>
        <sz val="10.0"/>
      </rPr>
      <t xml:space="preserve"> 
</t>
    </r>
    <r>
      <rPr>
        <rFont val="MingLiU"/>
        <color rgb="FF000000"/>
        <sz val="10.0"/>
      </rPr>
      <t>以能夠推動或自行移動的物品作為武器，雙方必須使用《</t>
    </r>
    <r>
      <rPr>
        <rFont val="Arial"/>
        <color rgb="FF000000"/>
        <sz val="10.0"/>
      </rPr>
      <t>[</t>
    </r>
    <r>
      <rPr>
        <rFont val="MingLiU"/>
        <color rgb="FF000000"/>
        <sz val="10.0"/>
      </rPr>
      <t>理智</t>
    </r>
    <r>
      <rPr>
        <rFont val="Arial"/>
        <color rgb="FF000000"/>
        <sz val="10.0"/>
      </rPr>
      <t>]+[</t>
    </r>
    <r>
      <rPr>
        <rFont val="MingLiU"/>
        <color rgb="FF000000"/>
        <sz val="10.0"/>
      </rPr>
      <t>意志</t>
    </r>
    <r>
      <rPr>
        <rFont val="Arial"/>
        <color rgb="FF000000"/>
        <sz val="10.0"/>
      </rPr>
      <t>]</t>
    </r>
    <r>
      <rPr>
        <rFont val="MingLiU"/>
        <color rgb="FF000000"/>
        <sz val="10.0"/>
      </rPr>
      <t>》進行命中迴避判定，給予對象《</t>
    </r>
    <r>
      <rPr>
        <rFont val="Arial"/>
        <color rgb="FF000000"/>
        <sz val="10.0"/>
      </rPr>
      <t>2D20</t>
    </r>
    <r>
      <rPr>
        <rFont val="MingLiU"/>
        <color rgb="FF000000"/>
        <sz val="10.0"/>
      </rPr>
      <t>》點傷害。攻擊之後該物品無法再使用。</t>
    </r>
    <r>
      <rPr>
        <rFont val="Arial"/>
        <color rgb="FF000000"/>
        <sz val="10.0"/>
      </rPr>
      <t xml:space="preserve"> </t>
    </r>
    <r>
      <rPr>
        <rFont val="MingLiU"/>
        <color rgb="FF000000"/>
        <sz val="10.0"/>
      </rPr>
      <t>此技能不影響隨選武器的效果。此技能無法作反擊使用。</t>
    </r>
  </si>
  <si>
    <t>策士</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</si>
  <si>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</si>
  <si>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</si>
  <si>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等級上升之時、選取一個喜歡的特技。每逢3等、6等、9等時，可以額外再取得一個特技。</t>
  </si>
  <si>
    <t>可造之材</t>
  </si>
  <si>
    <t xml:space="preserve">創角時獲得、策士等級三以上 </t>
  </si>
  <si>
    <r>
      <rPr>
        <rFont val="MingLiU"/>
        <color rgb="FF000000"/>
        <sz val="10.0"/>
      </rPr>
      <t>劇本開始前，你獲得等同於【策士等級】的數值。</t>
    </r>
    <r>
      <rPr>
        <rFont val="Arial"/>
        <color rgb="FF000000"/>
        <sz val="10.0"/>
      </rPr>
      <t xml:space="preserve"> 
</t>
    </r>
    <r>
      <rPr>
        <rFont val="MingLiU"/>
        <color rgb="FF000000"/>
        <sz val="10.0"/>
      </rPr>
      <t>你可以自由分配該數值到近戰、射擊、精神、行動。</t>
    </r>
    <r>
      <rPr>
        <rFont val="Arial"/>
        <color rgb="FF000000"/>
        <sz val="10.0"/>
      </rPr>
      <t xml:space="preserve"> 
</t>
    </r>
    <r>
      <rPr>
        <rFont val="MingLiU"/>
        <color rgb="FF000000"/>
        <sz val="10.0"/>
      </rPr>
      <t>分配的數值不會因為劇本結束而消失。</t>
    </r>
  </si>
  <si>
    <t>朽木可雕</t>
  </si>
  <si>
    <t xml:space="preserve">創角時獲得、策士等級二以上 </t>
  </si>
  <si>
    <r>
      <rPr>
        <rFont val="MingLiU"/>
        <color rgb="FF000000"/>
        <sz val="10.0"/>
      </rPr>
      <t>劇本開始前，你獲得等同於【策士等級】的數值。</t>
    </r>
    <r>
      <rPr>
        <rFont val="Arial"/>
        <color rgb="FF000000"/>
        <sz val="10.0"/>
      </rPr>
      <t xml:space="preserve"> 
</t>
    </r>
    <r>
      <rPr>
        <rFont val="MingLiU"/>
        <color rgb="FF000000"/>
        <sz val="10.0"/>
      </rPr>
      <t>你可以自由分配該數值到基本能力值</t>
    </r>
    <r>
      <rPr>
        <rFont val="Arial"/>
        <color rgb="FF000000"/>
        <sz val="10.0"/>
      </rPr>
      <t>(</t>
    </r>
    <r>
      <rPr>
        <rFont val="MingLiU"/>
        <color rgb="FF000000"/>
        <sz val="10.0"/>
      </rPr>
      <t>非紅利</t>
    </r>
    <r>
      <rPr>
        <rFont val="Arial"/>
        <color rgb="FF000000"/>
        <sz val="10.0"/>
      </rPr>
      <t>)</t>
    </r>
    <r>
      <rPr>
        <rFont val="MingLiU"/>
        <color rgb="FF000000"/>
        <sz val="10.0"/>
      </rPr>
      <t>。</t>
    </r>
  </si>
  <si>
    <t>佈局</t>
  </si>
  <si>
    <r>
      <rPr>
        <rFont val="Arial"/>
        <color rgb="FF000000"/>
        <sz val="10.0"/>
      </rPr>
      <t xml:space="preserve"> </t>
    </r>
    <r>
      <rPr>
        <rFont val="MingLiU"/>
        <color rgb="FF000000"/>
        <sz val="10.0"/>
      </rPr>
      <t>劇本開始前，你獲得等同於【策士等級</t>
    </r>
    <r>
      <rPr>
        <rFont val="Arial"/>
        <color rgb="FF000000"/>
        <sz val="10.0"/>
      </rPr>
      <t>+1</t>
    </r>
    <r>
      <rPr>
        <rFont val="MingLiU"/>
        <color rgb="FF000000"/>
        <sz val="10.0"/>
      </rPr>
      <t>】的數值。</t>
    </r>
    <r>
      <rPr>
        <rFont val="Arial"/>
        <color rgb="FF000000"/>
        <sz val="10.0"/>
      </rPr>
      <t xml:space="preserve"> 
</t>
    </r>
    <r>
      <rPr>
        <rFont val="MingLiU"/>
        <color rgb="FF000000"/>
        <sz val="10.0"/>
      </rPr>
      <t>每一點數值可以讓你在一個地區散撥一則訊息。</t>
    </r>
    <r>
      <rPr>
        <rFont val="Arial"/>
        <color rgb="FF000000"/>
        <sz val="10.0"/>
      </rPr>
      <t xml:space="preserve"> 
</t>
    </r>
    <r>
      <rPr>
        <rFont val="MingLiU"/>
        <color rgb="FF000000"/>
        <sz val="10.0"/>
      </rPr>
      <t>散撥的訊息無法被追蹤源頭。</t>
    </r>
    <r>
      <rPr>
        <rFont val="Arial"/>
        <color rgb="FF000000"/>
        <sz val="10.0"/>
      </rPr>
      <t xml:space="preserve"> </t>
    </r>
  </si>
  <si>
    <t>觀察眼</t>
  </si>
  <si>
    <r>
      <rPr>
        <rFont val="MingLiU"/>
        <color rgb="FF000000"/>
        <sz val="10.0"/>
      </rPr>
      <t>你在戰鬥以外【理智】上的判定獲得</t>
    </r>
    <r>
      <rPr>
        <rFont val="Arial"/>
        <color rgb="FF000000"/>
        <sz val="10.0"/>
      </rPr>
      <t>+3</t>
    </r>
    <r>
      <rPr>
        <rFont val="MingLiU"/>
        <color rgb="FF000000"/>
        <sz val="10.0"/>
      </rPr>
      <t>。</t>
    </r>
    <r>
      <rPr>
        <rFont val="Arial"/>
        <color rgb="FF000000"/>
        <sz val="10.0"/>
      </rPr>
      <t xml:space="preserve"> 
</t>
    </r>
    <r>
      <rPr>
        <rFont val="MingLiU"/>
        <color rgb="FF000000"/>
        <sz val="10.0"/>
      </rPr>
      <t>戰鬥中有人施展技能並發揮效果後，你可以得知其技能效果。</t>
    </r>
    <r>
      <rPr>
        <rFont val="Arial"/>
        <color rgb="FF000000"/>
        <sz val="10.0"/>
      </rPr>
      <t xml:space="preserve"> 
</t>
    </r>
    <r>
      <rPr>
        <rFont val="MingLiU"/>
        <color rgb="FF000000"/>
        <sz val="10.0"/>
      </rPr>
      <t>當有人受到攻擊傷害後，你可以得知其生命剩餘百分比。</t>
    </r>
  </si>
  <si>
    <t>戰場指揮</t>
  </si>
  <si>
    <r>
      <rPr>
        <rFont val="MingLiU"/>
        <color rgb="FF000000"/>
        <sz val="10.0"/>
      </rPr>
      <t>在我方戰鬥成員兩名以上時可以使用。</t>
    </r>
    <r>
      <rPr>
        <rFont val="Arial"/>
        <color rgb="FF000000"/>
        <sz val="10.0"/>
      </rPr>
      <t xml:space="preserve"> 
</t>
    </r>
    <r>
      <rPr>
        <rFont val="MingLiU"/>
        <color rgb="FF000000"/>
        <sz val="10.0"/>
      </rPr>
      <t>你可以任意調配我方成員至前排與後排</t>
    </r>
    <r>
      <rPr>
        <rFont val="Arial"/>
        <color rgb="FF000000"/>
        <sz val="10.0"/>
      </rPr>
      <t>(</t>
    </r>
    <r>
      <rPr>
        <rFont val="MingLiU"/>
        <color rgb="FF000000"/>
        <sz val="10.0"/>
      </rPr>
      <t>須符合阻礙規則</t>
    </r>
    <r>
      <rPr>
        <rFont val="Arial"/>
        <color rgb="FF000000"/>
        <sz val="10.0"/>
      </rPr>
      <t>)</t>
    </r>
    <r>
      <rPr>
        <rFont val="MingLiU"/>
        <color rgb="FF000000"/>
        <sz val="10.0"/>
      </rPr>
      <t>。</t>
    </r>
  </si>
  <si>
    <t>智者不惑</t>
  </si>
  <si>
    <r>
      <rPr>
        <rFont val="MingLiU"/>
        <color rgb="FF000000"/>
        <sz val="10.0"/>
      </rPr>
      <t>你的知覺與理智判定＋３。</t>
    </r>
    <r>
      <rPr>
        <rFont val="Arial"/>
        <color rgb="FF000000"/>
        <sz val="10.0"/>
      </rPr>
      <t xml:space="preserve"> 
</t>
    </r>
    <r>
      <rPr>
        <rFont val="MingLiU"/>
        <color rgb="FF000000"/>
        <sz val="10.0"/>
      </rPr>
      <t>當你得知的情報來自於有心人士散撥，或是【佈局】時，做一個</t>
    </r>
    <r>
      <rPr>
        <rFont val="Arial"/>
        <color rgb="FF000000"/>
        <sz val="10.0"/>
      </rPr>
      <t>2D6+</t>
    </r>
    <r>
      <rPr>
        <rFont val="MingLiU"/>
        <color rgb="FF000000"/>
        <sz val="10.0"/>
      </rPr>
      <t>【策士等級】的對抗骰。</t>
    </r>
    <r>
      <rPr>
        <rFont val="Arial"/>
        <color rgb="FF000000"/>
        <sz val="10.0"/>
      </rPr>
      <t xml:space="preserve"> 
</t>
    </r>
    <r>
      <rPr>
        <rFont val="MingLiU"/>
        <color rgb="FF000000"/>
        <sz val="10.0"/>
      </rPr>
      <t>對抗成功的話，可以知道情報是被刻意散撥。</t>
    </r>
  </si>
  <si>
    <t>愚者千慮</t>
  </si>
  <si>
    <r>
      <rPr>
        <rFont val="MingLiU"/>
        <color rgb="FF000000"/>
        <sz val="10.0"/>
      </rPr>
      <t>一劇本可以使用一次。</t>
    </r>
    <r>
      <rPr>
        <rFont val="Arial"/>
        <color rgb="FF000000"/>
        <sz val="10.0"/>
      </rPr>
      <t xml:space="preserve"> 
</t>
    </r>
    <r>
      <rPr>
        <rFont val="MingLiU"/>
        <color rgb="FF000000"/>
        <sz val="10.0"/>
      </rPr>
      <t>下個判定增加你的【策士等級】數值，若判定失敗，可繼續使用此技能。</t>
    </r>
  </si>
  <si>
    <t>錦囊妙計</t>
  </si>
  <si>
    <r>
      <rPr>
        <rFont val="MingLiU"/>
        <color rgb="FF000000"/>
        <sz val="10.0"/>
      </rPr>
      <t>劇本開始前，你獲得等同於【正面感情絆值／２】的錦囊。錦囊為消耗品，可贈與他人。但必須你不在同一場景才可使用。劇本結束後即消失。</t>
    </r>
    <r>
      <rPr>
        <rFont val="Arial"/>
        <color rgb="FF000000"/>
        <sz val="10.0"/>
      </rPr>
      <t xml:space="preserve"> 
</t>
    </r>
    <r>
      <rPr>
        <rFont val="MingLiU"/>
        <color rgb="FF000000"/>
        <sz val="10.0"/>
      </rPr>
      <t>錦囊效果如下：</t>
    </r>
    <r>
      <rPr>
        <rFont val="Arial"/>
        <color rgb="FF000000"/>
        <sz val="10.0"/>
      </rPr>
      <t xml:space="preserve"> 
</t>
    </r>
    <r>
      <rPr>
        <rFont val="MingLiU"/>
        <color rgb="FF000000"/>
        <sz val="10.0"/>
      </rPr>
      <t>使用者在下一個判定增加你的【策士等級】數值。</t>
    </r>
    <r>
      <rPr>
        <rFont val="Arial"/>
        <color rgb="FF000000"/>
        <sz val="10.0"/>
      </rPr>
      <t xml:space="preserve"> 
</t>
    </r>
    <r>
      <rPr>
        <rFont val="MingLiU"/>
        <color rgb="FF000000"/>
        <sz val="10.0"/>
      </rPr>
      <t>戰鬥中可以得知一名敵人的戰鬥數值。</t>
    </r>
    <r>
      <rPr>
        <rFont val="Arial"/>
        <color rgb="FF000000"/>
        <sz val="10.0"/>
      </rPr>
      <t xml:space="preserve"> </t>
    </r>
  </si>
  <si>
    <t>奇門遁甲</t>
  </si>
  <si>
    <r>
      <rPr>
        <rFont val="MingLiU"/>
        <color rgb="FF000000"/>
        <sz val="10.0"/>
      </rPr>
      <t>在戰鬥以外的判定丟出大失敗時，將大失敗效果取消，其值加上你的【策士等級】數值。這個效果一天只能發動一次。</t>
    </r>
    <r>
      <rPr>
        <rFont val="Arial"/>
        <color rgb="FF000000"/>
        <sz val="10.0"/>
      </rPr>
      <t xml:space="preserve"> 
</t>
    </r>
    <r>
      <rPr>
        <rFont val="MingLiU"/>
        <color rgb="FF000000"/>
        <sz val="10.0"/>
      </rPr>
      <t>在</t>
    </r>
    <r>
      <rPr>
        <rFont val="Arial"/>
        <color rgb="FF000000"/>
        <sz val="10.0"/>
      </rPr>
      <t>GM</t>
    </r>
    <r>
      <rPr>
        <rFont val="MingLiU"/>
        <color rgb="FF000000"/>
        <sz val="10.0"/>
      </rPr>
      <t>認為可以逃跑的戰鬥中，於準備階段支付</t>
    </r>
    <r>
      <rPr>
        <rFont val="Arial"/>
        <color rgb="FF000000"/>
        <sz val="10.0"/>
      </rPr>
      <t>15</t>
    </r>
    <r>
      <rPr>
        <rFont val="MingLiU"/>
        <color rgb="FF000000"/>
        <sz val="10.0"/>
      </rPr>
      <t>點</t>
    </r>
    <r>
      <rPr>
        <rFont val="Arial"/>
        <color rgb="FF000000"/>
        <sz val="10.0"/>
      </rPr>
      <t>TP</t>
    </r>
    <r>
      <rPr>
        <rFont val="MingLiU"/>
        <color rgb="FF000000"/>
        <sz val="10.0"/>
      </rPr>
      <t>使用，你從戰鬥場景離開，且無法被追蹤。</t>
    </r>
  </si>
  <si>
    <t>情報網</t>
  </si>
  <si>
    <r>
      <rPr>
        <rFont val="Arial"/>
        <color rgb="FF000000"/>
        <sz val="10.0"/>
      </rPr>
      <t xml:space="preserve"> </t>
    </r>
    <r>
      <rPr>
        <rFont val="MingLiU"/>
        <color rgb="FF000000"/>
        <sz val="10.0"/>
      </rPr>
      <t>指定【策士等級</t>
    </r>
    <r>
      <rPr>
        <rFont val="Arial"/>
        <color rgb="FF000000"/>
        <sz val="10.0"/>
      </rPr>
      <t>-2</t>
    </r>
    <r>
      <rPr>
        <rFont val="MingLiU"/>
        <color rgb="FF000000"/>
        <sz val="10.0"/>
      </rPr>
      <t>】區域，如果有發生狀況你會得知。</t>
    </r>
    <r>
      <rPr>
        <rFont val="Arial"/>
        <color rgb="FF000000"/>
        <sz val="10.0"/>
      </rPr>
      <t xml:space="preserve"> 
</t>
    </r>
    <r>
      <rPr>
        <rFont val="MingLiU"/>
        <color rgb="FF000000"/>
        <sz val="10.0"/>
      </rPr>
      <t>你不必親自抵達該區域。</t>
    </r>
  </si>
  <si>
    <t>六壬神課</t>
  </si>
  <si>
    <r>
      <rPr>
        <rFont val="MingLiU"/>
        <color rgb="FF000000"/>
        <sz val="10.0"/>
      </rPr>
      <t>在戰鬥以外的判定丟出大失敗時，將大失敗效果取消，再骰一次。這個效果一天只能發動你的【策士等級】次。</t>
    </r>
    <r>
      <rPr>
        <rFont val="Arial"/>
        <color rgb="FF000000"/>
        <sz val="10.0"/>
      </rPr>
      <t xml:space="preserve"> 
</t>
    </r>
    <r>
      <rPr>
        <rFont val="MingLiU"/>
        <color rgb="FF000000"/>
        <sz val="10.0"/>
      </rPr>
      <t>在</t>
    </r>
    <r>
      <rPr>
        <rFont val="Arial"/>
        <color rgb="FF000000"/>
        <sz val="10.0"/>
      </rPr>
      <t>GM</t>
    </r>
    <r>
      <rPr>
        <rFont val="MingLiU"/>
        <color rgb="FF000000"/>
        <sz val="10.0"/>
      </rPr>
      <t>認為可以逃跑的戰鬥中，你逃跑判定獲得【策士等級】的加值。</t>
    </r>
  </si>
  <si>
    <t>太乙神數</t>
  </si>
  <si>
    <r>
      <rPr>
        <rFont val="MingLiU"/>
        <color rgb="FF000000"/>
        <sz val="10.0"/>
      </rPr>
      <t>在戰鬥以外的判定會心減</t>
    </r>
    <r>
      <rPr>
        <rFont val="Arial"/>
        <color rgb="FF000000"/>
        <sz val="10.0"/>
      </rPr>
      <t>3</t>
    </r>
    <r>
      <rPr>
        <rFont val="MingLiU"/>
        <color rgb="FF000000"/>
        <sz val="10.0"/>
      </rPr>
      <t>。這個效果一天只能發動你的【策士等級】次。</t>
    </r>
    <r>
      <rPr>
        <rFont val="Arial"/>
        <color rgb="FF000000"/>
        <sz val="10.0"/>
      </rPr>
      <t xml:space="preserve"> 
</t>
    </r>
    <r>
      <rPr>
        <rFont val="MingLiU"/>
        <color rgb="FF000000"/>
        <sz val="10.0"/>
      </rPr>
      <t>在</t>
    </r>
    <r>
      <rPr>
        <rFont val="Arial"/>
        <color rgb="FF000000"/>
        <sz val="10.0"/>
      </rPr>
      <t>GM</t>
    </r>
    <r>
      <rPr>
        <rFont val="MingLiU"/>
        <color rgb="FF000000"/>
        <sz val="10.0"/>
      </rPr>
      <t>認為可以逃跑的戰鬥中，你可以多帶【策士等級】的人一起離開。</t>
    </r>
  </si>
  <si>
    <r>
      <rPr>
        <rFont val="MingLiU"/>
        <color rgb="FF000000"/>
        <sz val="10.0"/>
      </rPr>
      <t>額外特技</t>
    </r>
    <r>
      <rPr>
        <rFont val="Arial"/>
        <color rgb="FF000000"/>
        <sz val="10.0"/>
      </rPr>
      <t xml:space="preserve"> </t>
    </r>
    <r>
      <rPr>
        <rFont val="MingLiU"/>
        <color rgb="FF000000"/>
        <sz val="10.0"/>
      </rPr>
      <t>▲</t>
    </r>
  </si>
  <si>
    <t>諸子百家</t>
  </si>
  <si>
    <t xml:space="preserve">策士等級四以上 </t>
  </si>
  <si>
    <r>
      <rPr>
        <rFont val="MingLiU"/>
        <color rgb="FF000000"/>
        <sz val="10.0"/>
      </rPr>
      <t>你師承名門，「可造之材」與「朽木可雕」的效果額外加一。</t>
    </r>
    <r>
      <rPr>
        <rFont val="Arial"/>
        <color rgb="FF000000"/>
        <sz val="10.0"/>
      </rPr>
      <t xml:space="preserve"> 
</t>
    </r>
    <r>
      <rPr>
        <rFont val="MingLiU"/>
        <color rgb="FF000000"/>
        <sz val="10.0"/>
      </rPr>
      <t>戰鬥中，你的傷害額外增加你的【策士等級】。</t>
    </r>
    <r>
      <rPr>
        <rFont val="Arial"/>
        <color rgb="FF000000"/>
        <sz val="10.0"/>
      </rPr>
      <t xml:space="preserve"> 
</t>
    </r>
    <r>
      <rPr>
        <rFont val="MingLiU"/>
        <color rgb="FF000000"/>
        <sz val="10.0"/>
      </rPr>
      <t>你的「佈局」效果增加：</t>
    </r>
    <r>
      <rPr>
        <rFont val="Arial"/>
        <color rgb="FF000000"/>
        <sz val="10.0"/>
      </rPr>
      <t xml:space="preserve"> 
</t>
    </r>
    <r>
      <rPr>
        <rFont val="MingLiU"/>
        <color rgb="FF000000"/>
        <sz val="10.0"/>
      </rPr>
      <t>每兩點數值指定一個區域，當該區域發生戰鬥時，以下效果擇一發動：</t>
    </r>
    <r>
      <rPr>
        <rFont val="Arial"/>
        <color rgb="FF000000"/>
        <sz val="10.0"/>
      </rPr>
      <t xml:space="preserve"> 
</t>
    </r>
    <r>
      <rPr>
        <rFont val="MingLiU"/>
        <color rgb="FF000000"/>
        <sz val="10.0"/>
      </rPr>
      <t>敵方全體</t>
    </r>
    <r>
      <rPr>
        <rFont val="Arial"/>
        <color rgb="FF000000"/>
        <sz val="10.0"/>
      </rPr>
      <t>HP</t>
    </r>
    <r>
      <rPr>
        <rFont val="MingLiU"/>
        <color rgb="FF000000"/>
        <sz val="10.0"/>
      </rPr>
      <t>、</t>
    </r>
    <r>
      <rPr>
        <rFont val="Arial"/>
        <color rgb="FF000000"/>
        <sz val="10.0"/>
      </rPr>
      <t>TP</t>
    </r>
    <r>
      <rPr>
        <rFont val="MingLiU"/>
        <color rgb="FF000000"/>
        <sz val="10.0"/>
      </rPr>
      <t>減少三分之一。</t>
    </r>
    <r>
      <rPr>
        <rFont val="Arial"/>
        <color rgb="FF000000"/>
        <sz val="10.0"/>
      </rPr>
      <t xml:space="preserve"> 
</t>
    </r>
    <r>
      <rPr>
        <rFont val="MingLiU"/>
        <color rgb="FF000000"/>
        <sz val="10.0"/>
      </rPr>
      <t>敵方全體受到</t>
    </r>
    <r>
      <rPr>
        <rFont val="Arial"/>
        <color rgb="FF000000"/>
        <sz val="10.0"/>
      </rPr>
      <t>1D6</t>
    </r>
    <r>
      <rPr>
        <rFont val="MingLiU"/>
        <color rgb="FF000000"/>
        <sz val="10.0"/>
      </rPr>
      <t>的隨機不良狀態。</t>
    </r>
    <r>
      <rPr>
        <rFont val="Arial"/>
        <color rgb="FF000000"/>
        <sz val="10.0"/>
      </rPr>
      <t xml:space="preserve"> 
</t>
    </r>
    <r>
      <rPr>
        <rFont val="MingLiU"/>
        <color rgb="FF000000"/>
        <sz val="10.0"/>
      </rPr>
      <t>敵方全體判定減少</t>
    </r>
    <r>
      <rPr>
        <rFont val="Arial"/>
        <color rgb="FF000000"/>
        <sz val="10.0"/>
      </rPr>
      <t>1D6(</t>
    </r>
    <r>
      <rPr>
        <rFont val="MingLiU"/>
        <color rgb="FF000000"/>
        <sz val="10.0"/>
      </rPr>
      <t>發動瞬間固定此數值</t>
    </r>
    <r>
      <rPr>
        <rFont val="Arial"/>
        <color rgb="FF000000"/>
        <sz val="10.0"/>
      </rPr>
      <t>)</t>
    </r>
    <r>
      <rPr>
        <rFont val="MingLiU"/>
        <color rgb="FF000000"/>
        <sz val="10.0"/>
      </rPr>
      <t>。</t>
    </r>
  </si>
  <si>
    <t>計中計局中局</t>
  </si>
  <si>
    <t xml:space="preserve">佈局 </t>
  </si>
  <si>
    <r>
      <rPr>
        <rFont val="MingLiU"/>
        <color rgb="FF000000"/>
        <sz val="10.0"/>
      </rPr>
      <t>你的「佈局」效果增加：</t>
    </r>
    <r>
      <rPr>
        <rFont val="Arial"/>
        <color rgb="FF000000"/>
        <sz val="10.0"/>
      </rPr>
      <t xml:space="preserve"> 
</t>
    </r>
    <r>
      <rPr>
        <rFont val="MingLiU"/>
        <color rgb="FF000000"/>
        <sz val="10.0"/>
      </rPr>
      <t>每兩點數值指定一個區域，該區域若已被佈局戰鬥效果，將該效果對象反轉為敵方全體，或是直接破壞佈局。</t>
    </r>
  </si>
  <si>
    <t>化身</t>
  </si>
  <si>
    <t xml:space="preserve">絕智奇才、可造之材、朽木可雕 </t>
  </si>
  <si>
    <r>
      <rPr>
        <rFont val="Arial"/>
        <color rgb="FF000000"/>
        <sz val="10.0"/>
      </rPr>
      <t xml:space="preserve"> </t>
    </r>
    <r>
      <rPr>
        <rFont val="MingLiU"/>
        <color rgb="FF000000"/>
        <sz val="10.0"/>
      </rPr>
      <t>你的</t>
    </r>
    <r>
      <rPr>
        <rFont val="Arial"/>
        <color rgb="FF000000"/>
        <sz val="10.0"/>
      </rPr>
      <t>HP</t>
    </r>
    <r>
      <rPr>
        <rFont val="MingLiU"/>
        <color rgb="FF000000"/>
        <sz val="10.0"/>
      </rPr>
      <t>、</t>
    </r>
    <r>
      <rPr>
        <rFont val="Arial"/>
        <color rgb="FF000000"/>
        <sz val="10.0"/>
      </rPr>
      <t>TP</t>
    </r>
    <r>
      <rPr>
        <rFont val="MingLiU"/>
        <color rgb="FF000000"/>
        <sz val="10.0"/>
      </rPr>
      <t>額外增加【策士等級】</t>
    </r>
    <r>
      <rPr>
        <rFont val="Arial"/>
        <color rgb="FF000000"/>
        <sz val="10.0"/>
      </rPr>
      <t>*5</t>
    </r>
    <r>
      <rPr>
        <rFont val="MingLiU"/>
        <color rgb="FF000000"/>
        <sz val="10.0"/>
      </rPr>
      <t>。</t>
    </r>
    <r>
      <rPr>
        <rFont val="Arial"/>
        <color rgb="FF000000"/>
        <sz val="10.0"/>
      </rPr>
      <t xml:space="preserve"> 
</t>
    </r>
    <r>
      <rPr>
        <rFont val="MingLiU"/>
        <color rgb="FF000000"/>
        <sz val="10.0"/>
      </rPr>
      <t>劇本開始前，你可以獲得等同【目前技能數目</t>
    </r>
    <r>
      <rPr>
        <rFont val="Arial"/>
        <color rgb="FF000000"/>
        <sz val="10.0"/>
      </rPr>
      <t>-2</t>
    </r>
    <r>
      <rPr>
        <rFont val="MingLiU"/>
        <color rgb="FF000000"/>
        <sz val="10.0"/>
      </rPr>
      <t>】的其他級別技能，但必須滿足取得限制。</t>
    </r>
    <r>
      <rPr>
        <rFont val="Arial"/>
        <color rgb="FF000000"/>
        <sz val="10.0"/>
      </rPr>
      <t xml:space="preserve"> 
</t>
    </r>
    <r>
      <rPr>
        <rFont val="MingLiU"/>
        <color rgb="FF000000"/>
        <sz val="10.0"/>
      </rPr>
      <t>當你進入行動不能狀態時，取得的其他級別技能全部捨棄，你的</t>
    </r>
    <r>
      <rPr>
        <rFont val="Arial"/>
        <color rgb="FF000000"/>
        <sz val="10.0"/>
      </rPr>
      <t>HP</t>
    </r>
    <r>
      <rPr>
        <rFont val="MingLiU"/>
        <color rgb="FF000000"/>
        <sz val="10.0"/>
      </rPr>
      <t>包含上限傷害，一併恢復到最大值。</t>
    </r>
  </si>
  <si>
    <t>神謀鬼算</t>
  </si>
  <si>
    <t xml:space="preserve">智者不惑、錦囊妙計 </t>
  </si>
  <si>
    <r>
      <rPr>
        <rFont val="MingLiU"/>
        <color rgb="FF000000"/>
        <sz val="10.0"/>
      </rPr>
      <t>一劇本一次，你可以就角色手頭得知的情報，組織邏輯推述給</t>
    </r>
    <r>
      <rPr>
        <rFont val="Arial"/>
        <color rgb="FF000000"/>
        <sz val="10.0"/>
      </rPr>
      <t>GM</t>
    </r>
    <r>
      <rPr>
        <rFont val="MingLiU"/>
        <color rgb="FF000000"/>
        <sz val="10.0"/>
      </rPr>
      <t>詢問一件事。</t>
    </r>
    <r>
      <rPr>
        <rFont val="Arial"/>
        <color rgb="FF000000"/>
        <sz val="10.0"/>
      </rPr>
      <t xml:space="preserve"> 
GM</t>
    </r>
    <r>
      <rPr>
        <rFont val="MingLiU"/>
        <color rgb="FF000000"/>
        <sz val="10.0"/>
      </rPr>
      <t>必須回答你正確或錯誤，如果錯誤，必須指出問題點或附贈相關情報。</t>
    </r>
    <r>
      <rPr>
        <rFont val="Arial"/>
        <color rgb="FF000000"/>
        <sz val="10.0"/>
      </rPr>
      <t xml:space="preserve"> </t>
    </r>
  </si>
  <si>
    <t>縱橫連環</t>
  </si>
  <si>
    <t xml:space="preserve">情報網、策士等級三以上 </t>
  </si>
  <si>
    <r>
      <rPr>
        <rFont val="Arial"/>
        <color rgb="FF000000"/>
        <sz val="10.0"/>
      </rPr>
      <t xml:space="preserve"> </t>
    </r>
    <r>
      <rPr>
        <rFont val="MingLiU"/>
        <color rgb="FF000000"/>
        <sz val="10.0"/>
      </rPr>
      <t>劇本開始前，你可以清楚了解劇本內所有勢力以及登場人物的公開情報。</t>
    </r>
    <r>
      <rPr>
        <rFont val="Arial"/>
        <color rgb="FF000000"/>
        <sz val="10.0"/>
      </rPr>
      <t xml:space="preserve"> 
</t>
    </r>
    <r>
      <rPr>
        <rFont val="MingLiU"/>
        <color rgb="FF000000"/>
        <sz val="10.0"/>
      </rPr>
      <t>如果有隱藏未明的組織勢力，</t>
    </r>
    <r>
      <rPr>
        <rFont val="Arial"/>
        <color rgb="FF000000"/>
        <sz val="10.0"/>
      </rPr>
      <t>GM</t>
    </r>
    <r>
      <rPr>
        <rFont val="MingLiU"/>
        <color rgb="FF000000"/>
        <sz val="10.0"/>
      </rPr>
      <t>必須告知你存在。</t>
    </r>
    <r>
      <rPr>
        <rFont val="Arial"/>
        <color rgb="FF000000"/>
        <sz val="10.0"/>
      </rPr>
      <t xml:space="preserve"> 
</t>
    </r>
    <r>
      <rPr>
        <rFont val="MingLiU"/>
        <color rgb="FF000000"/>
        <sz val="10.0"/>
      </rPr>
      <t>你可以知道【策士等級／３】個登場人物的完整情報。</t>
    </r>
  </si>
  <si>
    <t>真偽莫辨</t>
  </si>
  <si>
    <t xml:space="preserve">佈局、策士等級三以上 </t>
  </si>
  <si>
    <r>
      <rPr>
        <rFont val="MingLiU"/>
        <color rgb="FF000000"/>
        <sz val="10.0"/>
      </rPr>
      <t>你的「佈局」效果增加：</t>
    </r>
    <r>
      <rPr>
        <rFont val="Arial"/>
        <color rgb="FF000000"/>
        <sz val="10.0"/>
      </rPr>
      <t xml:space="preserve"> </t>
    </r>
    <r>
      <rPr>
        <rFont val="MingLiU"/>
        <color rgb="FF000000"/>
        <sz val="10.0"/>
      </rPr>
      <t>每兩點數值可以讓你製造一個沒有任何實際效果的物品。</t>
    </r>
    <r>
      <rPr>
        <rFont val="Arial"/>
        <color rgb="FF000000"/>
        <sz val="10.0"/>
      </rPr>
      <t xml:space="preserve"> 
</t>
    </r>
    <r>
      <rPr>
        <rFont val="MingLiU"/>
        <color rgb="FF000000"/>
        <sz val="10.0"/>
      </rPr>
      <t>製造出來的物品可以是既存已知的物品，除了沒有實際效果外，與真品一模一樣。</t>
    </r>
  </si>
  <si>
    <t>絕智奇才</t>
  </si>
  <si>
    <t xml:space="preserve">創角時獲得 </t>
  </si>
  <si>
    <r>
      <rPr>
        <rFont val="MingLiU"/>
        <color rgb="FF000000"/>
        <sz val="10.0"/>
      </rPr>
      <t>劇本開始前，你隨機取得一個級別裡面的一個「分類：常時」以外的特技。</t>
    </r>
    <r>
      <rPr>
        <rFont val="Arial"/>
        <color rgb="FF000000"/>
        <sz val="10.0"/>
      </rPr>
      <t xml:space="preserve"> 
</t>
    </r>
    <r>
      <rPr>
        <rFont val="MingLiU"/>
        <color rgb="FF000000"/>
        <sz val="10.0"/>
      </rPr>
      <t>取得的特技不會因為劇本結束而消失。</t>
    </r>
    <r>
      <rPr>
        <rFont val="Arial"/>
        <color rgb="FF000000"/>
        <sz val="10.0"/>
      </rPr>
      <t xml:space="preserve"> 
</t>
    </r>
    <r>
      <rPr>
        <rFont val="MingLiU"/>
        <color rgb="FF000000"/>
        <sz val="10.0"/>
      </rPr>
      <t>此技能效果無法跟「可造之材」同時發動。</t>
    </r>
  </si>
  <si>
    <t>軍略</t>
  </si>
  <si>
    <t xml:space="preserve">戰場指揮 </t>
  </si>
  <si>
    <r>
      <rPr>
        <rFont val="MingLiU"/>
        <color rgb="FF000000"/>
        <sz val="10.0"/>
      </rPr>
      <t>準備階段時，當你位於隊伍後排時發揮效果。</t>
    </r>
    <r>
      <rPr>
        <rFont val="Arial"/>
        <color rgb="FF000000"/>
        <sz val="10.0"/>
      </rPr>
      <t xml:space="preserve"> 
</t>
    </r>
    <r>
      <rPr>
        <rFont val="MingLiU"/>
        <color rgb="FF000000"/>
        <sz val="10.0"/>
      </rPr>
      <t>我方成員判定增加《你的策士等級》。</t>
    </r>
  </si>
  <si>
    <t>出奇不意</t>
  </si>
  <si>
    <t xml:space="preserve">觀察眼 </t>
  </si>
  <si>
    <r>
      <rPr>
        <rFont val="MingLiU"/>
        <color rgb="FF000000"/>
        <sz val="10.0"/>
      </rPr>
      <t>戰鬥開始時，指定【你的策士等級】</t>
    </r>
    <r>
      <rPr>
        <rFont val="Arial"/>
        <color rgb="FF000000"/>
        <sz val="10.0"/>
      </rPr>
      <t>-2</t>
    </r>
    <r>
      <rPr>
        <rFont val="MingLiU"/>
        <color rgb="FF000000"/>
        <sz val="10.0"/>
      </rPr>
      <t>個敵方對象，並選擇一個戰鬥類型以外的技能分類。</t>
    </r>
    <r>
      <rPr>
        <rFont val="Arial"/>
        <color rgb="FF000000"/>
        <sz val="10.0"/>
      </rPr>
      <t xml:space="preserve"> 
</t>
    </r>
    <r>
      <rPr>
        <rFont val="MingLiU"/>
        <color rgb="FF000000"/>
        <sz val="10.0"/>
      </rPr>
      <t>當指定對象使用你所選擇的技能分類時，無效該技能效果。</t>
    </r>
    <r>
      <rPr>
        <rFont val="Arial"/>
        <color rgb="FF000000"/>
        <sz val="10.0"/>
      </rPr>
      <t xml:space="preserve"> 
</t>
    </r>
    <r>
      <rPr>
        <rFont val="MingLiU"/>
        <color rgb="FF000000"/>
        <sz val="10.0"/>
      </rPr>
      <t>指定對象的技能效果無效後，到戰鬥結束為止不會再無效。</t>
    </r>
  </si>
  <si>
    <t>沙盤推演</t>
  </si>
  <si>
    <r>
      <rPr>
        <rFont val="MingLiU"/>
        <color rgb="FF000000"/>
        <sz val="10.0"/>
      </rPr>
      <t>指定一個敵方以及【你的策士等級】</t>
    </r>
    <r>
      <rPr>
        <rFont val="Arial"/>
        <color rgb="FF000000"/>
        <sz val="10.0"/>
      </rPr>
      <t>-2</t>
    </r>
    <r>
      <rPr>
        <rFont val="MingLiU"/>
        <color rgb="FF000000"/>
        <sz val="10.0"/>
      </rPr>
      <t>個我方對象。</t>
    </r>
    <r>
      <rPr>
        <rFont val="Arial"/>
        <color rgb="FF000000"/>
        <sz val="10.0"/>
      </rPr>
      <t xml:space="preserve"> 
</t>
    </r>
    <r>
      <rPr>
        <rFont val="MingLiU"/>
        <color rgb="FF000000"/>
        <sz val="10.0"/>
      </rPr>
      <t>當敵方對你指定的我方對象發動攻擊時，我方對象獲得</t>
    </r>
    <r>
      <rPr>
        <rFont val="Arial"/>
        <color rgb="FF000000"/>
        <sz val="10.0"/>
      </rPr>
      <t>1D6</t>
    </r>
    <r>
      <rPr>
        <rFont val="MingLiU"/>
        <color rgb="FF000000"/>
        <sz val="10.0"/>
      </rPr>
      <t>判定加值</t>
    </r>
    <r>
      <rPr>
        <rFont val="Arial"/>
        <color rgb="FF000000"/>
        <sz val="10.0"/>
      </rPr>
      <t>(</t>
    </r>
    <r>
      <rPr>
        <rFont val="MingLiU"/>
        <color rgb="FF000000"/>
        <sz val="10.0"/>
      </rPr>
      <t>此數值不可超過你的策士等級</t>
    </r>
    <r>
      <rPr>
        <rFont val="Arial"/>
        <color rgb="FF000000"/>
        <sz val="10.0"/>
      </rPr>
      <t>)</t>
    </r>
    <r>
      <rPr>
        <rFont val="MingLiU"/>
        <color rgb="FF000000"/>
        <sz val="10.0"/>
      </rPr>
      <t>。</t>
    </r>
  </si>
  <si>
    <t>忍者</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</si>
  <si>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</si>
  <si>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</si>
  <si>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獲得「忍者八門」，然後再選擇一個自己喜歡的特技。</t>
  </si>
  <si>
    <t>忍者八門</t>
  </si>
  <si>
    <r>
      <rPr>
        <rFont val="MingLiU"/>
        <color rgb="FF000000"/>
        <sz val="10.0"/>
      </rPr>
      <t>你身為忍者的資格，會隨著等級變化。
等級一到三：下忍
你空手的傷害成為</t>
    </r>
    <r>
      <rPr>
        <rFont val="Arial"/>
        <color rgb="FF000000"/>
        <sz val="10.0"/>
      </rPr>
      <t>2D6</t>
    </r>
    <r>
      <rPr>
        <rFont val="MingLiU"/>
        <color rgb="FF000000"/>
        <sz val="10.0"/>
      </rPr>
      <t>。</t>
    </r>
    <r>
      <rPr>
        <rFont val="Arial"/>
        <color rgb="FF000000"/>
        <sz val="10.0"/>
      </rPr>
      <t xml:space="preserve"> 
</t>
    </r>
    <r>
      <rPr>
        <rFont val="MingLiU"/>
        <color rgb="FF000000"/>
        <sz val="10.0"/>
      </rPr>
      <t>你空手的攻擊類型可成為遠戰。</t>
    </r>
    <r>
      <rPr>
        <rFont val="Arial"/>
        <color rgb="FF000000"/>
        <sz val="10.0"/>
      </rPr>
      <t xml:space="preserve"> 
</t>
    </r>
    <r>
      <rPr>
        <rFont val="MingLiU"/>
        <color rgb="FF000000"/>
        <sz val="10.0"/>
      </rPr>
      <t>在透過交談搜尋情報時獲得</t>
    </r>
    <r>
      <rPr>
        <rFont val="Arial"/>
        <color rgb="FF000000"/>
        <sz val="10.0"/>
      </rPr>
      <t>+</t>
    </r>
    <r>
      <rPr>
        <rFont val="MingLiU"/>
        <color rgb="FF000000"/>
        <sz val="10.0"/>
      </rPr>
      <t>《</t>
    </r>
    <r>
      <rPr>
        <rFont val="Arial"/>
        <color rgb="FF000000"/>
        <sz val="10.0"/>
      </rPr>
      <t>2</t>
    </r>
    <r>
      <rPr>
        <rFont val="MingLiU"/>
        <color rgb="FF000000"/>
        <sz val="10.0"/>
      </rPr>
      <t>》修正。</t>
    </r>
    <r>
      <rPr>
        <rFont val="Arial"/>
        <color rgb="FF000000"/>
        <sz val="10.0"/>
      </rPr>
      <t xml:space="preserve"> 
</t>
    </r>
    <r>
      <rPr>
        <rFont val="MingLiU"/>
        <color rgb="FF000000"/>
        <sz val="10.0"/>
      </rPr>
      <t>你獲得〔忍者等級Ｘ</t>
    </r>
    <r>
      <rPr>
        <rFont val="Arial"/>
        <color rgb="FF000000"/>
        <sz val="10.0"/>
      </rPr>
      <t>8</t>
    </r>
    <r>
      <rPr>
        <rFont val="MingLiU"/>
        <color rgb="FF000000"/>
        <sz val="10.0"/>
      </rPr>
      <t>〕的溘鎢斯，每日結束時恢復三分之一。溘鎢斯可以視同集中力使用。</t>
    </r>
    <r>
      <rPr>
        <rFont val="Arial"/>
        <color rgb="FF000000"/>
        <sz val="10.0"/>
      </rPr>
      <t xml:space="preserve"> 
</t>
    </r>
    <r>
      <rPr>
        <rFont val="MingLiU"/>
        <color rgb="FF000000"/>
        <sz val="10.0"/>
      </rPr>
      <t>劇本開始你獲得一忍具。</t>
    </r>
    <r>
      <rPr>
        <rFont val="Arial"/>
        <color rgb="FF000000"/>
        <sz val="10.0"/>
      </rPr>
      <t xml:space="preserve"> 
</t>
    </r>
    <r>
      <rPr>
        <rFont val="MingLiU"/>
        <color rgb="FF000000"/>
        <sz val="10.0"/>
      </rPr>
      <t>等級四到六：中忍
你空手的傷害成為</t>
    </r>
    <r>
      <rPr>
        <rFont val="Arial"/>
        <color rgb="FF000000"/>
        <sz val="10.0"/>
      </rPr>
      <t>2D6+</t>
    </r>
    <r>
      <rPr>
        <rFont val="MingLiU"/>
        <color rgb="FF000000"/>
        <sz val="10.0"/>
      </rPr>
      <t>《忍者等級》。</t>
    </r>
    <r>
      <rPr>
        <rFont val="Arial"/>
        <color rgb="FF000000"/>
        <sz val="10.0"/>
      </rPr>
      <t xml:space="preserve"> 
</t>
    </r>
    <r>
      <rPr>
        <rFont val="MingLiU"/>
        <color rgb="FF000000"/>
        <sz val="10.0"/>
      </rPr>
      <t>劇本開始你獲得一忍具。</t>
    </r>
    <r>
      <rPr>
        <rFont val="Arial"/>
        <color rgb="FF000000"/>
        <sz val="10.0"/>
      </rPr>
      <t xml:space="preserve"> 
</t>
    </r>
    <r>
      <rPr>
        <rFont val="MingLiU"/>
        <color rgb="FF000000"/>
        <sz val="10.0"/>
      </rPr>
      <t>在逃跑與撤退獲得</t>
    </r>
    <r>
      <rPr>
        <rFont val="Arial"/>
        <color rgb="FF000000"/>
        <sz val="10.0"/>
      </rPr>
      <t>+</t>
    </r>
    <r>
      <rPr>
        <rFont val="MingLiU"/>
        <color rgb="FF000000"/>
        <sz val="10.0"/>
      </rPr>
      <t>《</t>
    </r>
    <r>
      <rPr>
        <rFont val="Arial"/>
        <color rgb="FF000000"/>
        <sz val="10.0"/>
      </rPr>
      <t>3</t>
    </r>
    <r>
      <rPr>
        <rFont val="MingLiU"/>
        <color rgb="FF000000"/>
        <sz val="10.0"/>
      </rPr>
      <t>》修正。</t>
    </r>
    <r>
      <rPr>
        <rFont val="Arial"/>
        <color rgb="FF000000"/>
        <sz val="10.0"/>
      </rPr>
      <t xml:space="preserve"> 
</t>
    </r>
    <r>
      <rPr>
        <rFont val="MingLiU"/>
        <color rgb="FF000000"/>
        <sz val="10.0"/>
      </rPr>
      <t>等級七以上：上忍</t>
    </r>
    <r>
      <rPr>
        <rFont val="Arial"/>
        <color rgb="FF000000"/>
        <sz val="10.0"/>
      </rPr>
      <t xml:space="preserve"> 
</t>
    </r>
    <r>
      <rPr>
        <rFont val="MingLiU"/>
        <color rgb="FF000000"/>
        <sz val="10.0"/>
      </rPr>
      <t>劇本開始你獲得一忍具。</t>
    </r>
    <r>
      <rPr>
        <rFont val="Arial"/>
        <color rgb="FF000000"/>
        <sz val="10.0"/>
      </rPr>
      <t xml:space="preserve"> 
</t>
    </r>
    <r>
      <rPr>
        <rFont val="MingLiU"/>
        <color rgb="FF000000"/>
        <sz val="10.0"/>
      </rPr>
      <t>你忍者相關技能《》內的值</t>
    </r>
    <r>
      <rPr>
        <rFont val="Arial"/>
        <color rgb="FF000000"/>
        <sz val="10.0"/>
      </rPr>
      <t>+1</t>
    </r>
    <r>
      <rPr>
        <rFont val="MingLiU"/>
        <color rgb="FF000000"/>
        <sz val="10.0"/>
      </rPr>
      <t>。</t>
    </r>
    <r>
      <rPr>
        <rFont val="Arial"/>
        <color rgb="FF000000"/>
        <sz val="10.0"/>
      </rPr>
      <t xml:space="preserve"> 
</t>
    </r>
    <r>
      <rPr>
        <rFont val="MingLiU"/>
        <color rgb="FF000000"/>
        <sz val="10.0"/>
      </rPr>
      <t>在隱藏氣息獲得</t>
    </r>
    <r>
      <rPr>
        <rFont val="Arial"/>
        <color rgb="FF000000"/>
        <sz val="10.0"/>
      </rPr>
      <t>+</t>
    </r>
    <r>
      <rPr>
        <rFont val="MingLiU"/>
        <color rgb="FF000000"/>
        <sz val="10.0"/>
      </rPr>
      <t>《</t>
    </r>
    <r>
      <rPr>
        <rFont val="Arial"/>
        <color rgb="FF000000"/>
        <sz val="10.0"/>
      </rPr>
      <t>3</t>
    </r>
    <r>
      <rPr>
        <rFont val="MingLiU"/>
        <color rgb="FF000000"/>
        <sz val="10.0"/>
      </rPr>
      <t>》修正。</t>
    </r>
    <r>
      <rPr>
        <rFont val="Arial"/>
        <color rgb="FF000000"/>
        <sz val="10.0"/>
      </rPr>
      <t xml:space="preserve"> </t>
    </r>
  </si>
  <si>
    <t>霞身術</t>
  </si>
  <si>
    <t xml:space="preserve">下忍 </t>
  </si>
  <si>
    <t>習得此技能時，指定一種異常狀態。你將不會被此異常狀態影響。</t>
  </si>
  <si>
    <t>偽裝</t>
  </si>
  <si>
    <t>劇本開始時，你可設定一個虛構的外貌身分，並擲2D6+《你的忍者等級》作為偽裝基準值。你對未識破你偽裝的人進行偷襲時，成功判定加《你的忍者等級》。識破判定為對方的理智對抗你基準值。</t>
  </si>
  <si>
    <t>忍具所持</t>
  </si>
  <si>
    <t>劇本開始前，選擇持有一種忍具。</t>
  </si>
  <si>
    <t xml:space="preserve">進攻／遠戰 </t>
  </si>
  <si>
    <r>
      <rPr>
        <rFont val="MingLiU"/>
        <color rgb="FF000000"/>
        <sz val="10.0"/>
      </rPr>
      <t>苦無任意數目</t>
    </r>
    <r>
      <rPr>
        <rFont val="Arial"/>
        <color rgb="FF000000"/>
        <sz val="10.0"/>
      </rPr>
      <t>(</t>
    </r>
    <r>
      <rPr>
        <rFont val="MingLiU"/>
        <color rgb="FF000000"/>
        <sz val="10.0"/>
      </rPr>
      <t>不可為零</t>
    </r>
    <r>
      <rPr>
        <rFont val="Arial"/>
        <color rgb="FF000000"/>
        <sz val="10.0"/>
      </rPr>
      <t>)</t>
    </r>
    <r>
      <rPr>
        <rFont val="MingLiU"/>
        <color rgb="FF000000"/>
        <sz val="10.0"/>
      </rPr>
      <t>，代價傷害</t>
    </r>
    <r>
      <rPr>
        <rFont val="Arial"/>
        <color rgb="FF000000"/>
        <sz val="10.0"/>
      </rPr>
      <t>5</t>
    </r>
    <r>
      <rPr>
        <rFont val="MingLiU"/>
        <color rgb="FF000000"/>
        <sz val="10.0"/>
      </rPr>
      <t>點</t>
    </r>
    <r>
      <rPr>
        <rFont val="Arial"/>
        <color rgb="FF000000"/>
        <sz val="10.0"/>
      </rPr>
      <t xml:space="preserve"> </t>
    </r>
  </si>
  <si>
    <t xml:space="preserve">中忍 </t>
  </si>
  <si>
    <r>
      <rPr>
        <rFont val="MingLiU"/>
        <color rgb="FF000000"/>
        <sz val="10.0"/>
      </rPr>
      <t>命中即給予對手不良狀態「麻痺」。
此次攻擊的命中</t>
    </r>
    <r>
      <rPr>
        <rFont val="Arial"/>
        <color rgb="FF000000"/>
        <sz val="10.0"/>
      </rPr>
      <t>+</t>
    </r>
    <r>
      <rPr>
        <rFont val="MingLiU"/>
        <color rgb="FF000000"/>
        <sz val="10.0"/>
      </rPr>
      <t>《代價苦無數目》。</t>
    </r>
    <r>
      <rPr>
        <rFont val="Arial"/>
        <color rgb="FF000000"/>
        <sz val="10.0"/>
      </rPr>
      <t xml:space="preserve"> </t>
    </r>
    <r>
      <rPr>
        <rFont val="MingLiU"/>
        <color rgb="FF000000"/>
        <sz val="10.0"/>
      </rPr>
      <t>此不良狀態持續一回合。</t>
    </r>
  </si>
  <si>
    <t>隱劍五方投</t>
  </si>
  <si>
    <t xml:space="preserve">攻擊類型/遠戰 </t>
  </si>
  <si>
    <r>
      <rPr>
        <rFont val="MingLiU"/>
        <color rgb="FF000000"/>
        <sz val="10.0"/>
      </rPr>
      <t>手裏劍</t>
    </r>
    <r>
      <rPr>
        <rFont val="Arial"/>
        <color rgb="FF000000"/>
        <sz val="10.0"/>
      </rPr>
      <t>1</t>
    </r>
    <r>
      <rPr>
        <rFont val="MingLiU"/>
        <color rgb="FF000000"/>
        <sz val="10.0"/>
      </rPr>
      <t>、代價傷害</t>
    </r>
    <r>
      <rPr>
        <rFont val="Arial"/>
        <color rgb="FF000000"/>
        <sz val="10.0"/>
      </rPr>
      <t xml:space="preserve">10 </t>
    </r>
  </si>
  <si>
    <r>
      <rPr>
        <rFont val="MingLiU"/>
        <color rgb="FF000000"/>
        <sz val="10.0"/>
      </rPr>
      <t>給予一對手</t>
    </r>
    <r>
      <rPr>
        <rFont val="Arial"/>
        <color rgb="FF000000"/>
        <sz val="10.0"/>
      </rPr>
      <t>3D6+</t>
    </r>
    <r>
      <rPr>
        <rFont val="MingLiU"/>
        <color rgb="FF000000"/>
        <sz val="10.0"/>
      </rPr>
      <t>【你忍者等級】的傷害。
此次攻擊的命中</t>
    </r>
    <r>
      <rPr>
        <rFont val="Arial"/>
        <color rgb="FF000000"/>
        <sz val="10.0"/>
      </rPr>
      <t>+5</t>
    </r>
    <r>
      <rPr>
        <rFont val="MingLiU"/>
        <color rgb="FF000000"/>
        <sz val="10.0"/>
      </rPr>
      <t>。</t>
    </r>
  </si>
  <si>
    <t>忍術‧自在變化</t>
  </si>
  <si>
    <t>可重新調配近戰、射擊、精神、行動四者數值，但不得為負數。調整數值增減不得超過你的【忍者等級】。</t>
  </si>
  <si>
    <t>土之道</t>
  </si>
  <si>
    <t>你進入「潛行」狀態。你可以無視阻礙移動。每次輪到你行動時，需與其他人進行潛行判定(GM視狀況決定雙方使用何種能力判定)，對象判定失敗時，你對對象的迴避與命中增加《你的忍者等級》。</t>
  </si>
  <si>
    <t>水之道</t>
  </si>
  <si>
    <r>
      <rPr>
        <rFont val="MingLiU"/>
        <color rgb="FF000000"/>
        <sz val="10.0"/>
      </rPr>
      <t>行動點</t>
    </r>
    <r>
      <rPr>
        <rFont val="Arial"/>
        <color rgb="FF000000"/>
        <sz val="10.0"/>
      </rPr>
      <t xml:space="preserve">10 </t>
    </r>
  </si>
  <si>
    <r>
      <rPr>
        <rFont val="Arial"/>
        <color rgb="FF000000"/>
        <sz val="10.0"/>
      </rPr>
      <t>1.</t>
    </r>
    <r>
      <rPr>
        <rFont val="MingLiU"/>
        <color rgb="FF000000"/>
        <sz val="10.0"/>
      </rPr>
      <t>當你受到近戰攻擊時，可以直接相殺。</t>
    </r>
    <r>
      <rPr>
        <rFont val="Arial"/>
        <color rgb="FF000000"/>
        <sz val="10.0"/>
      </rPr>
      <t xml:space="preserve"> 
2.</t>
    </r>
    <r>
      <rPr>
        <rFont val="MingLiU"/>
        <color rgb="FF000000"/>
        <sz val="10.0"/>
      </rPr>
      <t>當你進行完攻擊時，每使用一次這技能，增加一次額外的空手攻擊判定</t>
    </r>
    <r>
      <rPr>
        <rFont val="Arial"/>
        <color rgb="FF000000"/>
        <sz val="10.0"/>
      </rPr>
      <t>(</t>
    </r>
    <r>
      <rPr>
        <rFont val="MingLiU"/>
        <color rgb="FF000000"/>
        <sz val="10.0"/>
      </rPr>
      <t>無法附加進攻技能，但受常駐能力影響</t>
    </r>
    <r>
      <rPr>
        <rFont val="Arial"/>
        <color rgb="FF000000"/>
        <sz val="10.0"/>
      </rPr>
      <t>)</t>
    </r>
  </si>
  <si>
    <t>風之道</t>
  </si>
  <si>
    <t>你使用忍具進行的攻擊，命中額外增加《你的忍者等級》。你在逃跑上的判定增加《現在回合數》。</t>
  </si>
  <si>
    <t>火之道</t>
  </si>
  <si>
    <t>你使用忍具進行的攻擊，傷害額外增加《你的忍者等級》。當你進行迴避判定時，每消耗一忍具，增加迴避判定一點。</t>
  </si>
  <si>
    <t xml:space="preserve">土之道、水之道、火之道、風之道 </t>
  </si>
  <si>
    <r>
      <rPr>
        <rFont val="MingLiU"/>
        <color rgb="FF000000"/>
        <sz val="10.0"/>
      </rPr>
      <t>你額外獲得【忍者等級】</t>
    </r>
    <r>
      <rPr>
        <rFont val="Arial"/>
        <color rgb="FF000000"/>
        <sz val="10.0"/>
      </rPr>
      <t>X2</t>
    </r>
    <r>
      <rPr>
        <rFont val="MingLiU"/>
        <color rgb="FF000000"/>
        <sz val="10.0"/>
      </rPr>
      <t>的溘鎢斯，每日結束後自動補充至最大值。</t>
    </r>
    <r>
      <rPr>
        <rFont val="Arial"/>
        <color rgb="FF000000"/>
        <sz val="10.0"/>
      </rPr>
      <t xml:space="preserve"> 
</t>
    </r>
    <r>
      <rPr>
        <rFont val="MingLiU"/>
        <color rgb="FF000000"/>
        <sz val="10.0"/>
      </rPr>
      <t>你可以在攻擊上附加溘鎢斯，每五點溘鎢斯，增加</t>
    </r>
    <r>
      <rPr>
        <rFont val="Arial"/>
        <color rgb="FF000000"/>
        <sz val="10.0"/>
      </rPr>
      <t>1D6</t>
    </r>
    <r>
      <rPr>
        <rFont val="MingLiU"/>
        <color rgb="FF000000"/>
        <sz val="10.0"/>
      </rPr>
      <t>傷害。</t>
    </r>
    <r>
      <rPr>
        <rFont val="Arial"/>
        <color rgb="FF000000"/>
        <sz val="10.0"/>
      </rPr>
      <t xml:space="preserve"> 
</t>
    </r>
    <r>
      <rPr>
        <rFont val="MingLiU"/>
        <color rgb="FF000000"/>
        <sz val="10.0"/>
      </rPr>
      <t>你可以在迴避上附加溘鎢斯，每十點溘鎢斯，增加</t>
    </r>
    <r>
      <rPr>
        <rFont val="Arial"/>
        <color rgb="FF000000"/>
        <sz val="10.0"/>
      </rPr>
      <t>1D6</t>
    </r>
    <r>
      <rPr>
        <rFont val="MingLiU"/>
        <color rgb="FF000000"/>
        <sz val="10.0"/>
      </rPr>
      <t>判定。</t>
    </r>
    <r>
      <rPr>
        <rFont val="Arial"/>
        <color rgb="FF000000"/>
        <sz val="10.0"/>
      </rPr>
      <t xml:space="preserve"> 
</t>
    </r>
    <r>
      <rPr>
        <rFont val="MingLiU"/>
        <color rgb="FF000000"/>
        <sz val="10.0"/>
      </rPr>
      <t>你可以使用溘鎢斯恢復體能狀況，每五點溘鎢斯，恢復</t>
    </r>
    <r>
      <rPr>
        <rFont val="Arial"/>
        <color rgb="FF000000"/>
        <sz val="10.0"/>
      </rPr>
      <t>1D6</t>
    </r>
    <r>
      <rPr>
        <rFont val="MingLiU"/>
        <color rgb="FF000000"/>
        <sz val="10.0"/>
      </rPr>
      <t>。</t>
    </r>
    <r>
      <rPr>
        <rFont val="Arial"/>
        <color rgb="FF000000"/>
        <sz val="10.0"/>
      </rPr>
      <t xml:space="preserve"> 
</t>
    </r>
    <r>
      <rPr>
        <rFont val="MingLiU"/>
        <color rgb="FF000000"/>
        <sz val="10.0"/>
      </rPr>
      <t>你使用忍捲召喚之靈，全能力增加《你的忍者等級》。</t>
    </r>
  </si>
  <si>
    <t>秘忍術‧闇蜘蛛</t>
  </si>
  <si>
    <t xml:space="preserve">代價傷害5點 </t>
  </si>
  <si>
    <t>此次攻擊，所有角色都無法使用中斷的特技，防禦方也無法反擊。</t>
  </si>
  <si>
    <t>通靈之術</t>
  </si>
  <si>
    <t xml:space="preserve">通常/準備 </t>
  </si>
  <si>
    <t xml:space="preserve">代價傷害10點，忍捲任意數目 </t>
  </si>
  <si>
    <t xml:space="preserve">持有忍具「忍捲」、中忍 </t>
  </si>
  <si>
    <r>
      <rPr>
        <rFont val="MingLiU"/>
        <color rgb="FF000000"/>
        <sz val="10.0"/>
      </rPr>
      <t>召喚《每一忍捲一體》的靈。</t>
    </r>
    <r>
      <rPr>
        <rFont val="Arial"/>
        <color rgb="FF000000"/>
        <sz val="10.0"/>
      </rPr>
      <t xml:space="preserve"> 
</t>
    </r>
    <r>
      <rPr>
        <rFont val="MingLiU"/>
        <color rgb="FF000000"/>
        <sz val="10.0"/>
      </rPr>
      <t>召喚《每三捲忍捲一體》的鬼神。使役物和你同區域登場。</t>
    </r>
  </si>
  <si>
    <t>秘忍術‧咒禁封靈</t>
  </si>
  <si>
    <t>代價傷害80</t>
  </si>
  <si>
    <t xml:space="preserve">上忍 </t>
  </si>
  <si>
    <r>
      <rPr>
        <rFont val="MingLiU"/>
        <color rgb="FF000000"/>
        <sz val="10.0"/>
      </rPr>
      <t>在戰鬥結束前封印場上所有的召喚物，使其無法參予戰鬥，戰鬥結束前不再被任何技能效果影響。</t>
    </r>
    <r>
      <rPr>
        <rFont val="Arial"/>
        <color rgb="FF000000"/>
        <sz val="10.0"/>
      </rPr>
      <t xml:space="preserve"> 
</t>
    </r>
    <r>
      <rPr>
        <rFont val="MingLiU"/>
        <color rgb="FF000000"/>
        <sz val="10.0"/>
      </rPr>
      <t>並對召喚物主人造成召喚物總合血量的傷害。</t>
    </r>
    <r>
      <rPr>
        <rFont val="Arial"/>
        <color rgb="FF000000"/>
        <sz val="10.0"/>
      </rPr>
      <t xml:space="preserve"> 
</t>
    </r>
    <r>
      <rPr>
        <rFont val="MingLiU"/>
        <color rgb="FF000000"/>
        <sz val="10.0"/>
      </rPr>
      <t>此技能若用在英靈或幻想種的身上，則封印效果改為一回合，對主人的損傷減半。</t>
    </r>
  </si>
  <si>
    <t>秘忍術‧八門煉化</t>
  </si>
  <si>
    <r>
      <rPr>
        <rFont val="MingLiU"/>
        <color rgb="FF000000"/>
        <sz val="10.0"/>
      </rPr>
      <t>在你受到【死亡】的一擊時，可以從場景消失並復活，血量恢復至你的殘存溘鎢斯值</t>
    </r>
    <r>
      <rPr>
        <rFont val="Arial"/>
        <color rgb="FF000000"/>
        <sz val="10.0"/>
      </rPr>
      <t>(</t>
    </r>
    <r>
      <rPr>
        <rFont val="MingLiU"/>
        <color rgb="FF000000"/>
        <sz val="10.0"/>
      </rPr>
      <t>最低為</t>
    </r>
    <r>
      <rPr>
        <rFont val="Arial"/>
        <color rgb="FF000000"/>
        <sz val="10.0"/>
      </rPr>
      <t>1)</t>
    </r>
    <r>
      <rPr>
        <rFont val="MingLiU"/>
        <color rgb="FF000000"/>
        <sz val="10.0"/>
      </rPr>
      <t>。</t>
    </r>
    <r>
      <rPr>
        <rFont val="Arial"/>
        <color rgb="FF000000"/>
        <sz val="10.0"/>
      </rPr>
      <t xml:space="preserve"> 
</t>
    </r>
    <r>
      <rPr>
        <rFont val="MingLiU"/>
        <color rgb="FF000000"/>
        <sz val="10.0"/>
      </rPr>
      <t>在劇本結束前，全判定上升三。</t>
    </r>
    <r>
      <rPr>
        <rFont val="Arial"/>
        <color rgb="FF000000"/>
        <sz val="10.0"/>
      </rPr>
      <t xml:space="preserve"> 
</t>
    </r>
    <r>
      <rPr>
        <rFont val="MingLiU"/>
        <color rgb="FF000000"/>
        <sz val="10.0"/>
      </rPr>
      <t>此技能一劇本只會發動一次。</t>
    </r>
  </si>
  <si>
    <t>無名劍</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</si>
  <si>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</si>
  <si>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</si>
  <si>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得到「無名之劍」，然後再選擇一個自己喜歡的特技。</t>
  </si>
  <si>
    <t>無名之劍</t>
  </si>
  <si>
    <r>
      <rPr>
        <rFont val="Arial"/>
        <color rgb="FF000000"/>
        <sz val="10.0"/>
      </rPr>
      <t xml:space="preserve"> </t>
    </r>
    <r>
      <rPr>
        <rFont val="MingLiU"/>
        <color rgb="FF000000"/>
        <sz val="10.0"/>
      </rPr>
      <t>你在劇本開始時得到【你的無名劍等級】個</t>
    </r>
    <r>
      <rPr>
        <rFont val="Arial"/>
        <color rgb="FF000000"/>
        <sz val="10.0"/>
      </rPr>
      <t>Cost</t>
    </r>
    <r>
      <rPr>
        <rFont val="MingLiU"/>
        <color rgb="FF000000"/>
        <sz val="10.0"/>
      </rPr>
      <t>。</t>
    </r>
    <r>
      <rPr>
        <rFont val="Arial"/>
        <color rgb="FF000000"/>
        <sz val="10.0"/>
      </rPr>
      <t xml:space="preserve"> 
</t>
    </r>
    <r>
      <rPr>
        <rFont val="MingLiU"/>
        <color rgb="FF000000"/>
        <sz val="10.0"/>
      </rPr>
      <t>你能常時擁有的</t>
    </r>
    <r>
      <rPr>
        <rFont val="Arial"/>
        <color rgb="FF000000"/>
        <sz val="10.0"/>
      </rPr>
      <t>Cost</t>
    </r>
    <r>
      <rPr>
        <rFont val="MingLiU"/>
        <color rgb="FF000000"/>
        <sz val="10.0"/>
      </rPr>
      <t>上限為【你的無名劍等級】</t>
    </r>
    <r>
      <rPr>
        <rFont val="Arial"/>
        <color rgb="FF000000"/>
        <sz val="10.0"/>
      </rPr>
      <t>+1</t>
    </r>
    <r>
      <rPr>
        <rFont val="MingLiU"/>
        <color rgb="FF000000"/>
        <sz val="10.0"/>
      </rPr>
      <t>。超過的在場景終了時捨去。</t>
    </r>
    <r>
      <rPr>
        <rFont val="Arial"/>
        <color rgb="FF000000"/>
        <sz val="10.0"/>
      </rPr>
      <t xml:space="preserve"> 
</t>
    </r>
    <r>
      <rPr>
        <rFont val="MingLiU"/>
        <color rgb="FF000000"/>
        <sz val="10.0"/>
      </rPr>
      <t>你每持有</t>
    </r>
    <r>
      <rPr>
        <rFont val="Arial"/>
        <color rgb="FF000000"/>
        <sz val="10.0"/>
      </rPr>
      <t>1</t>
    </r>
    <r>
      <rPr>
        <rFont val="MingLiU"/>
        <color rgb="FF000000"/>
        <sz val="10.0"/>
      </rPr>
      <t>個</t>
    </r>
    <r>
      <rPr>
        <rFont val="Arial"/>
        <color rgb="FF000000"/>
        <sz val="10.0"/>
      </rPr>
      <t>Cost</t>
    </r>
    <r>
      <rPr>
        <rFont val="MingLiU"/>
        <color rgb="FF000000"/>
        <sz val="10.0"/>
      </rPr>
      <t>傷害</t>
    </r>
    <r>
      <rPr>
        <rFont val="Arial"/>
        <color rgb="FF000000"/>
        <sz val="10.0"/>
      </rPr>
      <t>+1</t>
    </r>
    <r>
      <rPr>
        <rFont val="MingLiU"/>
        <color rgb="FF000000"/>
        <sz val="10.0"/>
      </rPr>
      <t>，每</t>
    </r>
    <r>
      <rPr>
        <rFont val="Arial"/>
        <color rgb="FF000000"/>
        <sz val="10.0"/>
      </rPr>
      <t>3</t>
    </r>
    <r>
      <rPr>
        <rFont val="MingLiU"/>
        <color rgb="FF000000"/>
        <sz val="10.0"/>
      </rPr>
      <t>個命中和迴避</t>
    </r>
    <r>
      <rPr>
        <rFont val="Arial"/>
        <color rgb="FF000000"/>
        <sz val="10.0"/>
      </rPr>
      <t>+1</t>
    </r>
    <r>
      <rPr>
        <rFont val="MingLiU"/>
        <color rgb="FF000000"/>
        <sz val="10.0"/>
      </rPr>
      <t>。</t>
    </r>
    <r>
      <rPr>
        <rFont val="Arial"/>
        <color rgb="FF000000"/>
        <sz val="10.0"/>
      </rPr>
      <t xml:space="preserve"> 
</t>
    </r>
    <r>
      <rPr>
        <rFont val="MingLiU"/>
        <color rgb="FF000000"/>
        <sz val="10.0"/>
      </rPr>
      <t>戰鬥以外時，每花費代價傷害十點，可以恢復一個</t>
    </r>
    <r>
      <rPr>
        <rFont val="Arial"/>
        <color rgb="FF000000"/>
        <sz val="10.0"/>
      </rPr>
      <t>Cost</t>
    </r>
    <r>
      <rPr>
        <rFont val="MingLiU"/>
        <color rgb="FF000000"/>
        <sz val="10.0"/>
      </rPr>
      <t>。</t>
    </r>
    <r>
      <rPr>
        <rFont val="Arial"/>
        <color rgb="FF000000"/>
        <sz val="10.0"/>
      </rPr>
      <t xml:space="preserve"> </t>
    </r>
  </si>
  <si>
    <t>〈彌生〉彌生</t>
  </si>
  <si>
    <r>
      <rPr>
        <rFont val="MingLiU"/>
        <color rgb="FF000000"/>
        <sz val="10.0"/>
      </rPr>
      <t>每個場景開始時，</t>
    </r>
    <r>
      <rPr>
        <rFont val="Arial"/>
        <color rgb="FF000000"/>
        <sz val="10.0"/>
      </rPr>
      <t>Cost</t>
    </r>
    <r>
      <rPr>
        <rFont val="MingLiU"/>
        <color rgb="FF000000"/>
        <sz val="10.0"/>
      </rPr>
      <t>低於</t>
    </r>
    <r>
      <rPr>
        <rFont val="Arial"/>
        <color rgb="FF000000"/>
        <sz val="10.0"/>
      </rPr>
      <t>3</t>
    </r>
    <r>
      <rPr>
        <rFont val="MingLiU"/>
        <color rgb="FF000000"/>
        <sz val="10.0"/>
      </rPr>
      <t>則得到【無名劍等級／</t>
    </r>
    <r>
      <rPr>
        <rFont val="Arial"/>
        <color rgb="FF000000"/>
        <sz val="10.0"/>
      </rPr>
      <t>3</t>
    </r>
    <r>
      <rPr>
        <rFont val="MingLiU"/>
        <color rgb="FF000000"/>
        <sz val="10.0"/>
      </rPr>
      <t>】</t>
    </r>
    <r>
      <rPr>
        <rFont val="Arial"/>
        <color rgb="FF000000"/>
        <sz val="10.0"/>
      </rPr>
      <t>Cost</t>
    </r>
    <r>
      <rPr>
        <rFont val="MingLiU"/>
        <color rgb="FF000000"/>
        <sz val="10.0"/>
      </rPr>
      <t>，無法因為這個技能讓</t>
    </r>
    <r>
      <rPr>
        <rFont val="Arial"/>
        <color rgb="FF000000"/>
        <sz val="10.0"/>
      </rPr>
      <t>Cost</t>
    </r>
    <r>
      <rPr>
        <rFont val="MingLiU"/>
        <color rgb="FF000000"/>
        <sz val="10.0"/>
      </rPr>
      <t>超過</t>
    </r>
    <r>
      <rPr>
        <rFont val="Arial"/>
        <color rgb="FF000000"/>
        <sz val="10.0"/>
      </rPr>
      <t>3</t>
    </r>
    <r>
      <rPr>
        <rFont val="MingLiU"/>
        <color rgb="FF000000"/>
        <sz val="10.0"/>
      </rPr>
      <t>個。</t>
    </r>
    <r>
      <rPr>
        <rFont val="Arial"/>
        <color rgb="FF000000"/>
        <sz val="10.0"/>
      </rPr>
      <t xml:space="preserve"> 
</t>
    </r>
    <r>
      <rPr>
        <rFont val="MingLiU"/>
        <color rgb="FF000000"/>
        <sz val="10.0"/>
      </rPr>
      <t>準備階段使用，戰鬥終了前每個準備階段得到</t>
    </r>
    <r>
      <rPr>
        <rFont val="Arial"/>
        <color rgb="FF000000"/>
        <sz val="10.0"/>
      </rPr>
      <t>1</t>
    </r>
    <r>
      <rPr>
        <rFont val="MingLiU"/>
        <color rgb="FF000000"/>
        <sz val="10.0"/>
      </rPr>
      <t>個</t>
    </r>
    <r>
      <rPr>
        <rFont val="Arial"/>
        <color rgb="FF000000"/>
        <sz val="10.0"/>
      </rPr>
      <t>Cost</t>
    </r>
    <r>
      <rPr>
        <rFont val="MingLiU"/>
        <color rgb="FF000000"/>
        <sz val="10.0"/>
      </rPr>
      <t>。</t>
    </r>
  </si>
  <si>
    <t>〈睦月〉年端</t>
  </si>
  <si>
    <r>
      <rPr>
        <rFont val="MingLiU"/>
        <color rgb="FF000000"/>
        <sz val="10.0"/>
      </rPr>
      <t>指定對象一人，給予２Ｄ６傷害。</t>
    </r>
    <r>
      <rPr>
        <rFont val="Arial"/>
        <color rgb="FF000000"/>
        <sz val="10.0"/>
      </rPr>
      <t xml:space="preserve"> 
</t>
    </r>
    <r>
      <rPr>
        <rFont val="MingLiU"/>
        <color rgb="FF000000"/>
        <sz val="10.0"/>
      </rPr>
      <t>一戰鬥一回，追加</t>
    </r>
    <r>
      <rPr>
        <rFont val="Arial"/>
        <color rgb="FF000000"/>
        <sz val="10.0"/>
      </rPr>
      <t>2</t>
    </r>
    <r>
      <rPr>
        <rFont val="MingLiU"/>
        <color rgb="FF000000"/>
        <sz val="10.0"/>
      </rPr>
      <t>個</t>
    </r>
    <r>
      <rPr>
        <rFont val="Arial"/>
        <color rgb="FF000000"/>
        <sz val="10.0"/>
      </rPr>
      <t>Cost</t>
    </r>
    <r>
      <rPr>
        <rFont val="MingLiU"/>
        <color rgb="FF000000"/>
        <sz val="10.0"/>
      </rPr>
      <t>，命中達成值為</t>
    </r>
    <r>
      <rPr>
        <rFont val="Arial"/>
        <color rgb="FF000000"/>
        <sz val="10.0"/>
      </rPr>
      <t>2</t>
    </r>
    <r>
      <rPr>
        <rFont val="MingLiU"/>
        <color rgb="FF000000"/>
        <sz val="10.0"/>
      </rPr>
      <t>倍；追加</t>
    </r>
    <r>
      <rPr>
        <rFont val="Arial"/>
        <color rgb="FF000000"/>
        <sz val="10.0"/>
      </rPr>
      <t>4</t>
    </r>
    <r>
      <rPr>
        <rFont val="MingLiU"/>
        <color rgb="FF000000"/>
        <sz val="10.0"/>
      </rPr>
      <t>個</t>
    </r>
    <r>
      <rPr>
        <rFont val="Arial"/>
        <color rgb="FF000000"/>
        <sz val="10.0"/>
      </rPr>
      <t>Cost</t>
    </r>
    <r>
      <rPr>
        <rFont val="MingLiU"/>
        <color rgb="FF000000"/>
        <sz val="10.0"/>
      </rPr>
      <t>，傷害為</t>
    </r>
    <r>
      <rPr>
        <rFont val="Arial"/>
        <color rgb="FF000000"/>
        <sz val="10.0"/>
      </rPr>
      <t>2</t>
    </r>
    <r>
      <rPr>
        <rFont val="MingLiU"/>
        <color rgb="FF000000"/>
        <sz val="10.0"/>
      </rPr>
      <t>倍。</t>
    </r>
    <r>
      <rPr>
        <rFont val="Arial"/>
        <color rgb="FF000000"/>
        <sz val="10.0"/>
      </rPr>
      <t xml:space="preserve"> 
</t>
    </r>
    <r>
      <rPr>
        <rFont val="MingLiU"/>
        <color rgb="FF000000"/>
        <sz val="10.0"/>
      </rPr>
      <t>複數攻擊的情形，選擇一次攻擊得到</t>
    </r>
    <r>
      <rPr>
        <rFont val="Arial"/>
        <color rgb="FF000000"/>
        <sz val="10.0"/>
      </rPr>
      <t>Cost</t>
    </r>
    <r>
      <rPr>
        <rFont val="MingLiU"/>
        <color rgb="FF000000"/>
        <sz val="10.0"/>
      </rPr>
      <t>追加的效果。</t>
    </r>
  </si>
  <si>
    <t>〈長月〉殘月</t>
  </si>
  <si>
    <r>
      <rPr>
        <rFont val="MingLiU"/>
        <color rgb="FF000000"/>
        <sz val="10.0"/>
      </rPr>
      <t>指定一個對象給予</t>
    </r>
    <r>
      <rPr>
        <rFont val="Arial"/>
        <color rgb="FF000000"/>
        <sz val="10.0"/>
      </rPr>
      <t>1D6+</t>
    </r>
    <r>
      <rPr>
        <rFont val="MingLiU"/>
        <color rgb="FF000000"/>
        <sz val="10.0"/>
      </rPr>
      <t>【無名劍等級】點傷害。</t>
    </r>
    <r>
      <rPr>
        <rFont val="Arial"/>
        <color rgb="FF000000"/>
        <sz val="10.0"/>
      </rPr>
      <t xml:space="preserve"> 
</t>
    </r>
    <r>
      <rPr>
        <rFont val="MingLiU"/>
        <color rgb="FF000000"/>
        <sz val="10.0"/>
      </rPr>
      <t>每持有</t>
    </r>
    <r>
      <rPr>
        <rFont val="Arial"/>
        <color rgb="FF000000"/>
        <sz val="10.0"/>
      </rPr>
      <t>1</t>
    </r>
    <r>
      <rPr>
        <rFont val="MingLiU"/>
        <color rgb="FF000000"/>
        <sz val="10.0"/>
      </rPr>
      <t>個</t>
    </r>
    <r>
      <rPr>
        <rFont val="Arial"/>
        <color rgb="FF000000"/>
        <sz val="10.0"/>
      </rPr>
      <t>Cost</t>
    </r>
    <r>
      <rPr>
        <rFont val="MingLiU"/>
        <color rgb="FF000000"/>
        <sz val="10.0"/>
      </rPr>
      <t>傷害就可以</t>
    </r>
    <r>
      <rPr>
        <rFont val="Arial"/>
        <color rgb="FF000000"/>
        <sz val="10.0"/>
      </rPr>
      <t>+1</t>
    </r>
    <r>
      <rPr>
        <rFont val="MingLiU"/>
        <color rgb="FF000000"/>
        <sz val="10.0"/>
      </rPr>
      <t>。</t>
    </r>
    <r>
      <rPr>
        <rFont val="Arial"/>
        <color rgb="FF000000"/>
        <sz val="10.0"/>
      </rPr>
      <t xml:space="preserve"> 
</t>
    </r>
    <r>
      <rPr>
        <rFont val="MingLiU"/>
        <color rgb="FF000000"/>
        <sz val="10.0"/>
      </rPr>
      <t>以這個特技給予對象致死的攻擊後，得到《</t>
    </r>
    <r>
      <rPr>
        <rFont val="Arial"/>
        <color rgb="FF000000"/>
        <sz val="10.0"/>
      </rPr>
      <t>15</t>
    </r>
    <r>
      <rPr>
        <rFont val="MingLiU"/>
        <color rgb="FF000000"/>
        <sz val="10.0"/>
      </rPr>
      <t>》點情緒值。</t>
    </r>
  </si>
  <si>
    <t>〈神無月〉神無</t>
  </si>
  <si>
    <r>
      <rPr>
        <rFont val="MingLiU"/>
        <color rgb="FF000000"/>
        <sz val="10.0"/>
      </rPr>
      <t>以你一個持有的無名劍級別攻擊類型為對象，得到『空』屬性，點數等同</t>
    </r>
    <r>
      <rPr>
        <rFont val="Arial"/>
        <color rgb="FF000000"/>
        <sz val="10.0"/>
      </rPr>
      <t>Cost</t>
    </r>
    <r>
      <rPr>
        <rFont val="MingLiU"/>
        <color rgb="FF000000"/>
        <sz val="10.0"/>
      </rPr>
      <t>數量。</t>
    </r>
    <r>
      <rPr>
        <rFont val="Arial"/>
        <color rgb="FF000000"/>
        <sz val="10.0"/>
      </rPr>
      <t xml:space="preserve"> 
</t>
    </r>
    <r>
      <rPr>
        <rFont val="MingLiU"/>
        <color rgb="FF000000"/>
        <sz val="10.0"/>
      </rPr>
      <t>傷害增加</t>
    </r>
    <r>
      <rPr>
        <rFont val="Arial"/>
        <color rgb="FF000000"/>
        <sz val="10.0"/>
      </rPr>
      <t>1D6+</t>
    </r>
    <r>
      <rPr>
        <rFont val="MingLiU"/>
        <color rgb="FF000000"/>
        <sz val="10.0"/>
      </rPr>
      <t>『空屬性』點數。效果持續到結束階段。</t>
    </r>
  </si>
  <si>
    <t>〈卯月〉卯の花</t>
  </si>
  <si>
    <r>
      <rPr>
        <rFont val="MingLiU"/>
        <color rgb="FF000000"/>
        <sz val="10.0"/>
      </rPr>
      <t>代價傷害</t>
    </r>
    <r>
      <rPr>
        <rFont val="Arial"/>
        <color rgb="FF000000"/>
        <sz val="10.0"/>
      </rPr>
      <t xml:space="preserve">4 </t>
    </r>
  </si>
  <si>
    <r>
      <rPr>
        <rFont val="MingLiU"/>
        <color rgb="FF000000"/>
        <sz val="10.0"/>
      </rPr>
      <t>和無名劍特技『年端』或『殘月』組合使用。</t>
    </r>
    <r>
      <rPr>
        <rFont val="Arial"/>
        <color rgb="FF000000"/>
        <sz val="10.0"/>
      </rPr>
      <t xml:space="preserve"> 
</t>
    </r>
    <r>
      <rPr>
        <rFont val="MingLiU"/>
        <color rgb="FF000000"/>
        <sz val="10.0"/>
      </rPr>
      <t>實際傷害後效果。對宣言攻擊的對象</t>
    </r>
    <r>
      <rPr>
        <rFont val="Arial"/>
        <color rgb="FF000000"/>
        <sz val="10.0"/>
      </rPr>
      <t>(</t>
    </r>
    <r>
      <rPr>
        <rFont val="MingLiU"/>
        <color rgb="FF000000"/>
        <sz val="10.0"/>
      </rPr>
      <t>非實際傷害的對象</t>
    </r>
    <r>
      <rPr>
        <rFont val="Arial"/>
        <color rgb="FF000000"/>
        <sz val="10.0"/>
      </rPr>
      <t>)</t>
    </r>
    <r>
      <rPr>
        <rFont val="MingLiU"/>
        <color rgb="FF000000"/>
        <sz val="10.0"/>
      </rPr>
      <t>追加一回傷害</t>
    </r>
    <r>
      <rPr>
        <rFont val="Arial"/>
        <color rgb="FF000000"/>
        <sz val="10.0"/>
      </rPr>
      <t>2D6</t>
    </r>
    <r>
      <rPr>
        <rFont val="MingLiU"/>
        <color rgb="FF000000"/>
        <sz val="10.0"/>
      </rPr>
      <t>的攻擊。</t>
    </r>
    <r>
      <rPr>
        <rFont val="Arial"/>
        <color rgb="FF000000"/>
        <sz val="10.0"/>
      </rPr>
      <t xml:space="preserve"> 
</t>
    </r>
    <r>
      <rPr>
        <rFont val="MingLiU"/>
        <color rgb="FF000000"/>
        <sz val="10.0"/>
      </rPr>
      <t>命中處理時防禦側只能用【近戰】和你進行對決，此效果優先於其他改變防禦判定方式的特技。</t>
    </r>
    <r>
      <rPr>
        <rFont val="Arial"/>
        <color rgb="FF000000"/>
        <sz val="10.0"/>
      </rPr>
      <t xml:space="preserve"> 
</t>
    </r>
    <r>
      <rPr>
        <rFont val="MingLiU"/>
        <color rgb="FF000000"/>
        <sz val="10.0"/>
      </rPr>
      <t>傷害處理結束前，防禦側不能宣言分類：中斷、防守、反擊的特技。</t>
    </r>
    <r>
      <rPr>
        <rFont val="Arial"/>
        <color rgb="FF000000"/>
        <sz val="10.0"/>
      </rPr>
      <t xml:space="preserve"> 
</t>
    </r>
    <r>
      <rPr>
        <rFont val="MingLiU"/>
        <color rgb="FF000000"/>
        <sz val="10.0"/>
      </rPr>
      <t>追加</t>
    </r>
    <r>
      <rPr>
        <rFont val="Arial"/>
        <color rgb="FF000000"/>
        <sz val="10.0"/>
      </rPr>
      <t>1</t>
    </r>
    <r>
      <rPr>
        <rFont val="MingLiU"/>
        <color rgb="FF000000"/>
        <sz val="10.0"/>
      </rPr>
      <t>個</t>
    </r>
    <r>
      <rPr>
        <rFont val="Arial"/>
        <color rgb="FF000000"/>
        <sz val="10.0"/>
      </rPr>
      <t>Cost</t>
    </r>
    <r>
      <rPr>
        <rFont val="MingLiU"/>
        <color rgb="FF000000"/>
        <sz val="10.0"/>
      </rPr>
      <t>則延續殘月的追加傷害效果。</t>
    </r>
    <r>
      <rPr>
        <rFont val="Arial"/>
        <color rgb="FF000000"/>
        <sz val="10.0"/>
      </rPr>
      <t xml:space="preserve"> 
</t>
    </r>
    <r>
      <rPr>
        <rFont val="MingLiU"/>
        <color rgb="FF000000"/>
        <sz val="10.0"/>
      </rPr>
      <t>追加</t>
    </r>
    <r>
      <rPr>
        <rFont val="Arial"/>
        <color rgb="FF000000"/>
        <sz val="10.0"/>
      </rPr>
      <t>1</t>
    </r>
    <r>
      <rPr>
        <rFont val="MingLiU"/>
        <color rgb="FF000000"/>
        <sz val="10.0"/>
      </rPr>
      <t>個</t>
    </r>
    <r>
      <rPr>
        <rFont val="Arial"/>
        <color rgb="FF000000"/>
        <sz val="10.0"/>
      </rPr>
      <t>Cost</t>
    </r>
    <r>
      <rPr>
        <rFont val="MingLiU"/>
        <color rgb="FF000000"/>
        <sz val="10.0"/>
      </rPr>
      <t>則延續年端的命中或傷害增幅效果、追加</t>
    </r>
    <r>
      <rPr>
        <rFont val="Arial"/>
        <color rgb="FF000000"/>
        <sz val="10.0"/>
      </rPr>
      <t>2</t>
    </r>
    <r>
      <rPr>
        <rFont val="MingLiU"/>
        <color rgb="FF000000"/>
        <sz val="10.0"/>
      </rPr>
      <t>個則都延續。</t>
    </r>
  </si>
  <si>
    <t>〈葉月〉雁來</t>
  </si>
  <si>
    <r>
      <rPr>
        <rFont val="MingLiU"/>
        <color rgb="FF000000"/>
        <sz val="10.0"/>
      </rPr>
      <t>待機時間</t>
    </r>
    <r>
      <rPr>
        <rFont val="Arial"/>
        <color rgb="FF000000"/>
        <sz val="10.0"/>
      </rPr>
      <t xml:space="preserve">3 </t>
    </r>
  </si>
  <si>
    <t>該回攻擊可以攻擊相鄰區域，且命中得到Cost數量補正。</t>
  </si>
  <si>
    <t>〈葉月〉燕去</t>
  </si>
  <si>
    <r>
      <rPr>
        <rFont val="MingLiU"/>
        <color rgb="FF000000"/>
        <sz val="10.0"/>
      </rPr>
      <t>自由選擇一種屬性，該回攻擊變成該屬性傷害。</t>
    </r>
    <r>
      <rPr>
        <rFont val="Arial"/>
        <color rgb="FF000000"/>
        <sz val="10.0"/>
      </rPr>
      <t xml:space="preserve"> 
</t>
    </r>
    <r>
      <rPr>
        <rFont val="MingLiU"/>
        <color rgb="FF000000"/>
        <sz val="10.0"/>
      </rPr>
      <t>傷害增加【你的無名劍級別等級】點，實際傷害後得到</t>
    </r>
    <r>
      <rPr>
        <rFont val="Arial"/>
        <color rgb="FF000000"/>
        <sz val="10.0"/>
      </rPr>
      <t>1</t>
    </r>
    <r>
      <rPr>
        <rFont val="MingLiU"/>
        <color rgb="FF000000"/>
        <sz val="10.0"/>
      </rPr>
      <t>個</t>
    </r>
    <r>
      <rPr>
        <rFont val="Arial"/>
        <color rgb="FF000000"/>
        <sz val="10.0"/>
      </rPr>
      <t>Cost</t>
    </r>
    <r>
      <rPr>
        <rFont val="MingLiU"/>
        <color rgb="FF000000"/>
        <sz val="10.0"/>
      </rPr>
      <t>。</t>
    </r>
    <r>
      <rPr>
        <rFont val="Arial"/>
        <color rgb="FF000000"/>
        <sz val="10.0"/>
      </rPr>
      <t xml:space="preserve"> 
</t>
    </r>
    <r>
      <rPr>
        <rFont val="MingLiU"/>
        <color rgb="FF000000"/>
        <sz val="10.0"/>
      </rPr>
      <t>追加</t>
    </r>
    <r>
      <rPr>
        <rFont val="Arial"/>
        <color rgb="FF000000"/>
        <sz val="10.0"/>
      </rPr>
      <t>1</t>
    </r>
    <r>
      <rPr>
        <rFont val="MingLiU"/>
        <color rgb="FF000000"/>
        <sz val="10.0"/>
      </rPr>
      <t>個</t>
    </r>
    <r>
      <rPr>
        <rFont val="Arial"/>
        <color rgb="FF000000"/>
        <sz val="10.0"/>
      </rPr>
      <t>Cost</t>
    </r>
    <r>
      <rPr>
        <rFont val="MingLiU"/>
        <color rgb="FF000000"/>
        <sz val="10.0"/>
      </rPr>
      <t>消耗的話，可以再宣言一個分類：進攻的特技組合。</t>
    </r>
    <r>
      <rPr>
        <rFont val="Arial"/>
        <color rgb="FF000000"/>
        <sz val="10.0"/>
      </rPr>
      <t xml:space="preserve"> 
</t>
    </r>
    <r>
      <rPr>
        <rFont val="MingLiU"/>
        <color rgb="FF000000"/>
        <sz val="10.0"/>
      </rPr>
      <t>因為此特技得到的</t>
    </r>
    <r>
      <rPr>
        <rFont val="Arial"/>
        <color rgb="FF000000"/>
        <sz val="10.0"/>
      </rPr>
      <t>COST</t>
    </r>
    <r>
      <rPr>
        <rFont val="MingLiU"/>
        <color rgb="FF000000"/>
        <sz val="10.0"/>
      </rPr>
      <t>，一回合只能獲得【無名劍等級</t>
    </r>
    <r>
      <rPr>
        <rFont val="Arial"/>
        <color rgb="FF000000"/>
        <sz val="10.0"/>
      </rPr>
      <t>/3</t>
    </r>
    <r>
      <rPr>
        <rFont val="MingLiU"/>
        <color rgb="FF000000"/>
        <sz val="10.0"/>
      </rPr>
      <t>】個。</t>
    </r>
  </si>
  <si>
    <t>〈皐月〉五月雨</t>
  </si>
  <si>
    <r>
      <rPr>
        <rFont val="MingLiU"/>
        <color rgb="FF000000"/>
        <sz val="10.0"/>
      </rPr>
      <t>全部</t>
    </r>
    <r>
      <rPr>
        <rFont val="Arial"/>
        <color rgb="FF000000"/>
        <sz val="10.0"/>
      </rPr>
      <t xml:space="preserve">Cost </t>
    </r>
  </si>
  <si>
    <r>
      <rPr>
        <rFont val="MingLiU"/>
        <color rgb="FF000000"/>
        <sz val="10.0"/>
      </rPr>
      <t>不能和增加攻擊對象的特技組合使用。</t>
    </r>
    <r>
      <rPr>
        <rFont val="Arial"/>
        <color rgb="FF000000"/>
        <sz val="10.0"/>
      </rPr>
      <t xml:space="preserve"> 
</t>
    </r>
    <r>
      <rPr>
        <rFont val="MingLiU"/>
        <color rgb="FF000000"/>
        <sz val="10.0"/>
      </rPr>
      <t>消耗代價每</t>
    </r>
    <r>
      <rPr>
        <rFont val="Arial"/>
        <color rgb="FF000000"/>
        <sz val="10.0"/>
      </rPr>
      <t>1</t>
    </r>
    <r>
      <rPr>
        <rFont val="MingLiU"/>
        <color rgb="FF000000"/>
        <sz val="10.0"/>
      </rPr>
      <t>個</t>
    </r>
    <r>
      <rPr>
        <rFont val="Arial"/>
        <color rgb="FF000000"/>
        <sz val="10.0"/>
      </rPr>
      <t>Cost</t>
    </r>
    <r>
      <rPr>
        <rFont val="MingLiU"/>
        <color rgb="FF000000"/>
        <sz val="10.0"/>
      </rPr>
      <t>讓你消耗行動點數</t>
    </r>
    <r>
      <rPr>
        <rFont val="Arial"/>
        <color rgb="FF000000"/>
        <sz val="10.0"/>
      </rPr>
      <t>5</t>
    </r>
    <r>
      <rPr>
        <rFont val="MingLiU"/>
        <color rgb="FF000000"/>
        <sz val="10.0"/>
      </rPr>
      <t>進行一次攻擊。</t>
    </r>
    <r>
      <rPr>
        <rFont val="Arial"/>
        <color rgb="FF000000"/>
        <sz val="10.0"/>
      </rPr>
      <t xml:space="preserve"> 
</t>
    </r>
    <r>
      <rPr>
        <rFont val="MingLiU"/>
        <color rgb="FF000000"/>
        <sz val="10.0"/>
      </rPr>
      <t>行動點數低於</t>
    </r>
    <r>
      <rPr>
        <rFont val="Arial"/>
        <color rgb="FF000000"/>
        <sz val="10.0"/>
      </rPr>
      <t>5</t>
    </r>
    <r>
      <rPr>
        <rFont val="MingLiU"/>
        <color rgb="FF000000"/>
        <sz val="10.0"/>
      </rPr>
      <t>不能繼續攻擊，在此之前你無法取消攻擊。</t>
    </r>
    <r>
      <rPr>
        <rFont val="Arial"/>
        <color rgb="FF000000"/>
        <sz val="10.0"/>
      </rPr>
      <t xml:space="preserve"> </t>
    </r>
  </si>
  <si>
    <t>〈長月〉紅葉</t>
  </si>
  <si>
    <t xml:space="preserve">防守 </t>
  </si>
  <si>
    <r>
      <rPr>
        <rFont val="MingLiU"/>
        <color rgb="FF000000"/>
        <sz val="10.0"/>
      </rPr>
      <t>代價</t>
    </r>
    <r>
      <rPr>
        <rFont val="Arial"/>
        <color rgb="FF000000"/>
        <sz val="10.0"/>
      </rPr>
      <t xml:space="preserve">1Cost </t>
    </r>
  </si>
  <si>
    <r>
      <rPr>
        <rFont val="MingLiU"/>
        <color rgb="FF000000"/>
        <sz val="10.0"/>
      </rPr>
      <t>無論攻擊側用什麼能力值判定、你都能用【近戰】進行迴避判定。</t>
    </r>
    <r>
      <rPr>
        <rFont val="Arial"/>
        <color rgb="FF000000"/>
        <sz val="10.0"/>
      </rPr>
      <t xml:space="preserve"> 
</t>
    </r>
    <r>
      <rPr>
        <rFont val="MingLiU"/>
        <color rgb="FF000000"/>
        <sz val="10.0"/>
      </rPr>
      <t>追加消耗</t>
    </r>
    <r>
      <rPr>
        <rFont val="Arial"/>
        <color rgb="FF000000"/>
        <sz val="10.0"/>
      </rPr>
      <t>2</t>
    </r>
    <r>
      <rPr>
        <rFont val="MingLiU"/>
        <color rgb="FF000000"/>
        <sz val="10.0"/>
      </rPr>
      <t>個</t>
    </r>
    <r>
      <rPr>
        <rFont val="Arial"/>
        <color rgb="FF000000"/>
        <sz val="10.0"/>
      </rPr>
      <t>Cost</t>
    </r>
    <r>
      <rPr>
        <rFont val="MingLiU"/>
        <color rgb="FF000000"/>
        <sz val="10.0"/>
      </rPr>
      <t>，迴避判定的達成值得到【你的無名劍等級】點補正。</t>
    </r>
  </si>
  <si>
    <t>〈文月〉七夜</t>
  </si>
  <si>
    <r>
      <rPr>
        <rFont val="MingLiU"/>
        <color rgb="FF000000"/>
        <sz val="10.0"/>
      </rPr>
      <t>你受到的每個傷害減少</t>
    </r>
    <r>
      <rPr>
        <rFont val="Arial"/>
        <color rgb="FF000000"/>
        <sz val="10.0"/>
      </rPr>
      <t>Cost</t>
    </r>
    <r>
      <rPr>
        <rFont val="MingLiU"/>
        <color rgb="FF000000"/>
        <sz val="10.0"/>
      </rPr>
      <t>數量點。</t>
    </r>
    <r>
      <rPr>
        <rFont val="Arial"/>
        <color rgb="FF000000"/>
        <sz val="10.0"/>
      </rPr>
      <t xml:space="preserve"> 
</t>
    </r>
    <r>
      <rPr>
        <rFont val="MingLiU"/>
        <color rgb="FF000000"/>
        <sz val="10.0"/>
      </rPr>
      <t>進行精神抵抗的判定時，得到</t>
    </r>
    <r>
      <rPr>
        <rFont val="Arial"/>
        <color rgb="FF000000"/>
        <sz val="10.0"/>
      </rPr>
      <t>+3</t>
    </r>
    <r>
      <rPr>
        <rFont val="MingLiU"/>
        <color rgb="FF000000"/>
        <sz val="10.0"/>
      </rPr>
      <t>的補正。</t>
    </r>
    <r>
      <rPr>
        <rFont val="Arial"/>
        <color rgb="FF000000"/>
        <sz val="10.0"/>
      </rPr>
      <t xml:space="preserve"> 
</t>
    </r>
    <r>
      <rPr>
        <rFont val="MingLiU"/>
        <color rgb="FF000000"/>
        <sz val="10.0"/>
      </rPr>
      <t>戰鬥以外進行判定時，每消耗</t>
    </r>
    <r>
      <rPr>
        <rFont val="Arial"/>
        <color rgb="FF000000"/>
        <sz val="10.0"/>
      </rPr>
      <t>1Cost</t>
    </r>
    <r>
      <rPr>
        <rFont val="MingLiU"/>
        <color rgb="FF000000"/>
        <sz val="10.0"/>
      </rPr>
      <t>，可以重新判定一次。</t>
    </r>
  </si>
  <si>
    <t>〈如月〉木芽</t>
  </si>
  <si>
    <r>
      <rPr>
        <rFont val="MingLiU"/>
        <color rgb="FF000000"/>
        <sz val="10.0"/>
      </rPr>
      <t>你持有</t>
    </r>
    <r>
      <rPr>
        <rFont val="Arial"/>
        <color rgb="FF000000"/>
        <sz val="10.0"/>
      </rPr>
      <t>Cost</t>
    </r>
    <r>
      <rPr>
        <rFont val="MingLiU"/>
        <color rgb="FF000000"/>
        <sz val="10.0"/>
      </rPr>
      <t>時，得到不良狀態能夠消耗</t>
    </r>
    <r>
      <rPr>
        <rFont val="Arial"/>
        <color rgb="FF000000"/>
        <sz val="10.0"/>
      </rPr>
      <t>1</t>
    </r>
    <r>
      <rPr>
        <rFont val="MingLiU"/>
        <color rgb="FF000000"/>
        <sz val="10.0"/>
      </rPr>
      <t>個</t>
    </r>
    <r>
      <rPr>
        <rFont val="Arial"/>
        <color rgb="FF000000"/>
        <sz val="10.0"/>
      </rPr>
      <t>Cost</t>
    </r>
    <r>
      <rPr>
        <rFont val="MingLiU"/>
        <color rgb="FF000000"/>
        <sz val="10.0"/>
      </rPr>
      <t>解除。</t>
    </r>
    <r>
      <rPr>
        <rFont val="Arial"/>
        <color rgb="FF000000"/>
        <sz val="10.0"/>
      </rPr>
      <t xml:space="preserve"> 
</t>
    </r>
    <r>
      <rPr>
        <rFont val="MingLiU"/>
        <color rgb="FF000000"/>
        <sz val="10.0"/>
      </rPr>
      <t>準備階段消耗</t>
    </r>
    <r>
      <rPr>
        <rFont val="Arial"/>
        <color rgb="FF000000"/>
        <sz val="10.0"/>
      </rPr>
      <t>2</t>
    </r>
    <r>
      <rPr>
        <rFont val="MingLiU"/>
        <color rgb="FF000000"/>
        <sz val="10.0"/>
      </rPr>
      <t>個</t>
    </r>
    <r>
      <rPr>
        <rFont val="Arial"/>
        <color rgb="FF000000"/>
        <sz val="10.0"/>
      </rPr>
      <t>Cost</t>
    </r>
    <r>
      <rPr>
        <rFont val="MingLiU"/>
        <color rgb="FF000000"/>
        <sz val="10.0"/>
      </rPr>
      <t>的話可以解除同區域一個對象的不良狀態。</t>
    </r>
  </si>
  <si>
    <r>
      <rPr>
        <rFont val="MingLiU"/>
        <color rgb="FF000000"/>
        <sz val="10.0"/>
      </rPr>
      <t>額外特技</t>
    </r>
    <r>
      <rPr>
        <rFont val="Arial"/>
        <color rgb="FF000000"/>
        <sz val="10.0"/>
      </rPr>
      <t xml:space="preserve"> </t>
    </r>
    <r>
      <rPr>
        <rFont val="MingLiU"/>
        <color rgb="FF000000"/>
        <sz val="10.0"/>
      </rPr>
      <t>▲</t>
    </r>
  </si>
  <si>
    <t>〈神無月〉初霜</t>
  </si>
  <si>
    <t xml:space="preserve">結束階段 </t>
  </si>
  <si>
    <t xml:space="preserve">代價傷害25或3Cost </t>
  </si>
  <si>
    <t xml:space="preserve">無名劍等級6以上 </t>
  </si>
  <si>
    <r>
      <rPr>
        <rFont val="Arial"/>
        <color rgb="FF000000"/>
        <sz val="10.0"/>
      </rPr>
      <t xml:space="preserve"> HP</t>
    </r>
    <r>
      <rPr>
        <rFont val="MingLiU"/>
        <color rgb="FF000000"/>
        <sz val="10.0"/>
      </rPr>
      <t>低於</t>
    </r>
    <r>
      <rPr>
        <rFont val="Arial"/>
        <color rgb="FF000000"/>
        <sz val="10.0"/>
      </rPr>
      <t>1/3</t>
    </r>
    <r>
      <rPr>
        <rFont val="MingLiU"/>
        <color rgb="FF000000"/>
        <sz val="10.0"/>
      </rPr>
      <t>時才能宣言這個特技，以所有區域的存在角色為對象。</t>
    </r>
    <r>
      <rPr>
        <rFont val="Arial"/>
        <color rgb="FF000000"/>
        <sz val="10.0"/>
      </rPr>
      <t xml:space="preserve"> 
</t>
    </r>
    <r>
      <rPr>
        <rFont val="MingLiU"/>
        <color rgb="FF000000"/>
        <sz val="10.0"/>
      </rPr>
      <t>對象受到最大</t>
    </r>
    <r>
      <rPr>
        <rFont val="Arial"/>
        <color rgb="FF000000"/>
        <sz val="10.0"/>
      </rPr>
      <t>HP(1D6*5)</t>
    </r>
    <r>
      <rPr>
        <rFont val="MingLiU"/>
        <color rgb="FF000000"/>
        <sz val="10.0"/>
      </rPr>
      <t>百分比的水屬性傷害。</t>
    </r>
    <r>
      <rPr>
        <rFont val="Arial"/>
        <color rgb="FF000000"/>
        <sz val="10.0"/>
      </rPr>
      <t xml:space="preserve"> 
</t>
    </r>
    <r>
      <rPr>
        <rFont val="MingLiU"/>
        <color rgb="FF000000"/>
        <sz val="10.0"/>
      </rPr>
      <t>之後三個準備階段，行動擲骰結果低於你的對象，行動點數變成</t>
    </r>
    <r>
      <rPr>
        <rFont val="Arial"/>
        <color rgb="FF000000"/>
        <sz val="10.0"/>
      </rPr>
      <t>0</t>
    </r>
    <r>
      <rPr>
        <rFont val="MingLiU"/>
        <color rgb="FF000000"/>
        <sz val="10.0"/>
      </rPr>
      <t>。</t>
    </r>
    <r>
      <rPr>
        <rFont val="Arial"/>
        <color rgb="FF000000"/>
        <sz val="10.0"/>
      </rPr>
      <t xml:space="preserve"> </t>
    </r>
  </si>
  <si>
    <t>〈霜月〉雪見</t>
  </si>
  <si>
    <t xml:space="preserve">代價傷害10+n </t>
  </si>
  <si>
    <t xml:space="preserve">「初霜」取得、無名劍等級6以上 </t>
  </si>
  <si>
    <r>
      <rPr>
        <rFont val="MingLiU"/>
        <color rgb="FF000000"/>
        <sz val="10.0"/>
      </rPr>
      <t>發動初霜後才能宣言，效果結束前，每個準備階段時得到</t>
    </r>
    <r>
      <rPr>
        <rFont val="Arial"/>
        <color rgb="FF000000"/>
        <sz val="10.0"/>
      </rPr>
      <t>1Cost</t>
    </r>
    <r>
      <rPr>
        <rFont val="MingLiU"/>
        <color rgb="FF000000"/>
        <sz val="10.0"/>
      </rPr>
      <t>。</t>
    </r>
    <r>
      <rPr>
        <rFont val="Arial"/>
        <color rgb="FF000000"/>
        <sz val="10.0"/>
      </rPr>
      <t xml:space="preserve"> 
</t>
    </r>
    <r>
      <rPr>
        <rFont val="MingLiU"/>
        <color rgb="FF000000"/>
        <sz val="10.0"/>
      </rPr>
      <t>所有判定達成值得到【無名劍等級</t>
    </r>
    <r>
      <rPr>
        <rFont val="Arial"/>
        <color rgb="FF000000"/>
        <sz val="10.0"/>
      </rPr>
      <t>/3</t>
    </r>
    <r>
      <rPr>
        <rFont val="MingLiU"/>
        <color rgb="FF000000"/>
        <sz val="10.0"/>
      </rPr>
      <t>】</t>
    </r>
    <r>
      <rPr>
        <rFont val="Arial"/>
        <color rgb="FF000000"/>
        <sz val="10.0"/>
      </rPr>
      <t>+Cost</t>
    </r>
    <r>
      <rPr>
        <rFont val="MingLiU"/>
        <color rgb="FF000000"/>
        <sz val="10.0"/>
      </rPr>
      <t>補正。</t>
    </r>
    <r>
      <rPr>
        <rFont val="Arial"/>
        <color rgb="FF000000"/>
        <sz val="10.0"/>
      </rPr>
      <t xml:space="preserve"> 
</t>
    </r>
    <r>
      <rPr>
        <rFont val="MingLiU"/>
        <color rgb="FF000000"/>
        <sz val="10.0"/>
      </rPr>
      <t>結束階段必須再支付一次代價才能維持效果。</t>
    </r>
    <r>
      <rPr>
        <rFont val="Arial"/>
        <color rgb="FF000000"/>
        <sz val="10.0"/>
      </rPr>
      <t>n=</t>
    </r>
    <r>
      <rPr>
        <rFont val="MingLiU"/>
        <color rgb="FF000000"/>
        <sz val="10.0"/>
      </rPr>
      <t>持續回合數</t>
    </r>
    <r>
      <rPr>
        <rFont val="Arial"/>
        <color rgb="FF000000"/>
        <sz val="10.0"/>
      </rPr>
      <t>*5</t>
    </r>
    <r>
      <rPr>
        <rFont val="MingLiU"/>
        <color rgb="FF000000"/>
        <sz val="10.0"/>
      </rPr>
      <t>。</t>
    </r>
  </si>
  <si>
    <t>〈神無月〉神有</t>
  </si>
  <si>
    <r>
      <rPr>
        <rFont val="MingLiU"/>
        <color rgb="FF000000"/>
        <sz val="10.0"/>
      </rPr>
      <t>行動點數</t>
    </r>
    <r>
      <rPr>
        <rFont val="Arial"/>
        <color rgb="FF000000"/>
        <sz val="10.0"/>
      </rPr>
      <t>20</t>
    </r>
    <r>
      <rPr>
        <rFont val="MingLiU"/>
        <color rgb="FF000000"/>
        <sz val="10.0"/>
      </rPr>
      <t>，或</t>
    </r>
    <r>
      <rPr>
        <rFont val="Arial"/>
        <color rgb="FF000000"/>
        <sz val="10.0"/>
      </rPr>
      <t xml:space="preserve">2Cost </t>
    </r>
  </si>
  <si>
    <t xml:space="preserve">「神無」取得、無名劍等級4以上 </t>
  </si>
  <si>
    <r>
      <rPr>
        <rFont val="MingLiU"/>
        <color rgb="FF000000"/>
        <sz val="10.0"/>
      </rPr>
      <t>持有神無效果的攻擊類型造成實際傷害時可以宣言這個特技；</t>
    </r>
    <r>
      <rPr>
        <rFont val="Arial"/>
        <color rgb="FF000000"/>
        <sz val="10.0"/>
      </rPr>
      <t xml:space="preserve"> 
</t>
    </r>
    <r>
      <rPr>
        <rFont val="MingLiU"/>
        <color rgb="FF000000"/>
        <sz val="10.0"/>
      </rPr>
      <t>以你持有的【攻擊類型</t>
    </r>
    <r>
      <rPr>
        <rFont val="Arial"/>
        <color rgb="FF000000"/>
        <sz val="10.0"/>
      </rPr>
      <t>/</t>
    </r>
    <r>
      <rPr>
        <rFont val="MingLiU"/>
        <color rgb="FF000000"/>
        <sz val="10.0"/>
      </rPr>
      <t>近戰】特技為對象，對防禦側進行一回攻擊。</t>
    </r>
    <r>
      <rPr>
        <rFont val="Arial"/>
        <color rgb="FF000000"/>
        <sz val="10.0"/>
      </rPr>
      <t xml:space="preserve"> 
</t>
    </r>
    <r>
      <rPr>
        <rFont val="MingLiU"/>
        <color rgb="FF000000"/>
        <sz val="10.0"/>
      </rPr>
      <t>傷害處理時傷害擲骰追加</t>
    </r>
    <r>
      <rPr>
        <rFont val="Arial"/>
        <color rgb="FF000000"/>
        <sz val="10.0"/>
      </rPr>
      <t>3D6</t>
    </r>
    <r>
      <rPr>
        <rFont val="MingLiU"/>
        <color rgb="FF000000"/>
        <sz val="10.0"/>
      </rPr>
      <t>。</t>
    </r>
    <r>
      <rPr>
        <rFont val="Arial"/>
        <color rgb="FF000000"/>
        <sz val="10.0"/>
      </rPr>
      <t xml:space="preserve"> 
</t>
    </r>
    <r>
      <rPr>
        <rFont val="MingLiU"/>
        <color rgb="FF000000"/>
        <sz val="10.0"/>
      </rPr>
      <t>主要階段結束後，角色變更為『行動完成狀態』。</t>
    </r>
    <r>
      <rPr>
        <rFont val="Arial"/>
        <color rgb="FF000000"/>
        <sz val="10.0"/>
      </rPr>
      <t xml:space="preserve"> </t>
    </r>
  </si>
  <si>
    <t>〈霜月〉神歸</t>
  </si>
  <si>
    <r>
      <rPr>
        <rFont val="MingLiU"/>
        <color rgb="FF000000"/>
        <sz val="10.0"/>
      </rPr>
      <t>行動點數</t>
    </r>
    <r>
      <rPr>
        <rFont val="Arial"/>
        <color rgb="FF000000"/>
        <sz val="10.0"/>
      </rPr>
      <t>10</t>
    </r>
    <r>
      <rPr>
        <rFont val="MingLiU"/>
        <color rgb="FF000000"/>
        <sz val="10.0"/>
      </rPr>
      <t>，或</t>
    </r>
    <r>
      <rPr>
        <rFont val="Arial"/>
        <color rgb="FF000000"/>
        <sz val="10.0"/>
      </rPr>
      <t xml:space="preserve">1Cost </t>
    </r>
  </si>
  <si>
    <t>「神無」、「神有」取得、無名劍等級6以上</t>
  </si>
  <si>
    <r>
      <rPr>
        <rFont val="MingLiU"/>
        <color rgb="FF000000"/>
        <sz val="10.0"/>
      </rPr>
      <t>神有造成實際傷害時，可以宣言這個特技；</t>
    </r>
    <r>
      <rPr>
        <rFont val="Arial"/>
        <color rgb="FF000000"/>
        <sz val="10.0"/>
      </rPr>
      <t xml:space="preserve"> 
</t>
    </r>
    <r>
      <rPr>
        <rFont val="MingLiU"/>
        <color rgb="FF000000"/>
        <sz val="10.0"/>
      </rPr>
      <t>對和你同區域的所有敵方角色造成</t>
    </r>
    <r>
      <rPr>
        <rFont val="Arial"/>
        <color rgb="FF000000"/>
        <sz val="10.0"/>
      </rPr>
      <t>4D6+Cost</t>
    </r>
    <r>
      <rPr>
        <rFont val="MingLiU"/>
        <color rgb="FF000000"/>
        <sz val="10.0"/>
      </rPr>
      <t>點『空屬性』傷害。</t>
    </r>
    <r>
      <rPr>
        <rFont val="Arial"/>
        <color rgb="FF000000"/>
        <sz val="10.0"/>
      </rPr>
      <t xml:space="preserve"> 
</t>
    </r>
    <r>
      <rPr>
        <rFont val="MingLiU"/>
        <color rgb="FF000000"/>
        <sz val="10.0"/>
      </rPr>
      <t>你得到傷害擲骰結果等值的情緒值獎勵。</t>
    </r>
    <r>
      <rPr>
        <rFont val="Arial"/>
        <color rgb="FF000000"/>
        <sz val="10.0"/>
      </rPr>
      <t xml:space="preserve"> 
</t>
    </r>
    <r>
      <rPr>
        <rFont val="MingLiU"/>
        <color rgb="FF000000"/>
        <sz val="10.0"/>
      </rPr>
      <t>主要階段結束後，角色變更為『行動完成狀態』。</t>
    </r>
  </si>
  <si>
    <t>〈皐月〉早苗</t>
  </si>
  <si>
    <r>
      <rPr>
        <rFont val="MingLiU"/>
        <color rgb="FF000000"/>
        <sz val="10.0"/>
      </rPr>
      <t>代價</t>
    </r>
    <r>
      <rPr>
        <rFont val="Arial"/>
        <color rgb="FF000000"/>
        <sz val="10.0"/>
      </rPr>
      <t xml:space="preserve">2Cost </t>
    </r>
  </si>
  <si>
    <t xml:space="preserve">特技「木芽」取得 </t>
  </si>
  <si>
    <r>
      <rPr>
        <rFont val="MingLiU"/>
        <color rgb="FF000000"/>
        <sz val="10.0"/>
      </rPr>
      <t>你的</t>
    </r>
    <r>
      <rPr>
        <rFont val="Arial"/>
        <color rgb="FF000000"/>
        <sz val="10.0"/>
      </rPr>
      <t>Cost</t>
    </r>
    <r>
      <rPr>
        <rFont val="MingLiU"/>
        <color rgb="FF000000"/>
        <sz val="10.0"/>
      </rPr>
      <t>上限</t>
    </r>
    <r>
      <rPr>
        <rFont val="Arial"/>
        <color rgb="FF000000"/>
        <sz val="10.0"/>
      </rPr>
      <t>+1</t>
    </r>
    <r>
      <rPr>
        <rFont val="MingLiU"/>
        <color rgb="FF000000"/>
        <sz val="10.0"/>
      </rPr>
      <t>，劇本開始時獲得的</t>
    </r>
    <r>
      <rPr>
        <rFont val="Arial"/>
        <color rgb="FF000000"/>
        <sz val="10.0"/>
      </rPr>
      <t>Cost+1</t>
    </r>
    <r>
      <rPr>
        <rFont val="MingLiU"/>
        <color rgb="FF000000"/>
        <sz val="10.0"/>
      </rPr>
      <t>。</t>
    </r>
    <r>
      <rPr>
        <rFont val="Arial"/>
        <color rgb="FF000000"/>
        <sz val="10.0"/>
      </rPr>
      <t xml:space="preserve"> 
</t>
    </r>
    <r>
      <rPr>
        <rFont val="MingLiU"/>
        <color rgb="FF000000"/>
        <sz val="10.0"/>
      </rPr>
      <t>以同區域</t>
    </r>
    <r>
      <rPr>
        <rFont val="Arial"/>
        <color rgb="FF000000"/>
        <sz val="10.0"/>
      </rPr>
      <t>(</t>
    </r>
    <r>
      <rPr>
        <rFont val="MingLiU"/>
        <color rgb="FF000000"/>
        <sz val="10.0"/>
      </rPr>
      <t>包括自己</t>
    </r>
    <r>
      <rPr>
        <rFont val="Arial"/>
        <color rgb="FF000000"/>
        <sz val="10.0"/>
      </rPr>
      <t>)</t>
    </r>
    <r>
      <rPr>
        <rFont val="MingLiU"/>
        <color rgb="FF000000"/>
        <sz val="10.0"/>
      </rPr>
      <t>一人為對象，回復</t>
    </r>
    <r>
      <rPr>
        <rFont val="Arial"/>
        <color rgb="FF000000"/>
        <sz val="10.0"/>
      </rPr>
      <t>3D6+</t>
    </r>
    <r>
      <rPr>
        <rFont val="MingLiU"/>
        <color rgb="FF000000"/>
        <sz val="10.0"/>
      </rPr>
      <t>【無名劍級別等級】點</t>
    </r>
    <r>
      <rPr>
        <rFont val="Arial"/>
        <color rgb="FF000000"/>
        <sz val="10.0"/>
      </rPr>
      <t>HP</t>
    </r>
    <r>
      <rPr>
        <rFont val="MingLiU"/>
        <color rgb="FF000000"/>
        <sz val="10.0"/>
      </rPr>
      <t>。</t>
    </r>
  </si>
  <si>
    <t>〈師走〉師走</t>
  </si>
  <si>
    <t xml:space="preserve">常時／中斷 </t>
  </si>
  <si>
    <r>
      <rPr>
        <rFont val="MingLiU"/>
        <color rgb="FF000000"/>
        <sz val="10.0"/>
      </rPr>
      <t>代價</t>
    </r>
    <r>
      <rPr>
        <rFont val="Arial"/>
        <color rgb="FF000000"/>
        <sz val="10.0"/>
      </rPr>
      <t xml:space="preserve">2Cost </t>
    </r>
  </si>
  <si>
    <t xml:space="preserve">無名劍等級3以上 </t>
  </si>
  <si>
    <r>
      <rPr>
        <rFont val="MingLiU"/>
        <color rgb="FF000000"/>
        <sz val="10.0"/>
      </rPr>
      <t>你的【行動】得到</t>
    </r>
    <r>
      <rPr>
        <rFont val="Arial"/>
        <color rgb="FF000000"/>
        <sz val="10.0"/>
      </rPr>
      <t>Cost</t>
    </r>
    <r>
      <rPr>
        <rFont val="MingLiU"/>
        <color rgb="FF000000"/>
        <sz val="10.0"/>
      </rPr>
      <t>數量補正。</t>
    </r>
    <r>
      <rPr>
        <rFont val="Arial"/>
        <color rgb="FF000000"/>
        <sz val="10.0"/>
      </rPr>
      <t xml:space="preserve"> 
</t>
    </r>
    <r>
      <rPr>
        <rFont val="MingLiU"/>
        <color rgb="FF000000"/>
        <sz val="10.0"/>
      </rPr>
      <t>主要階段結束時，宣言這個特技，你的行動點數減少</t>
    </r>
    <r>
      <rPr>
        <rFont val="Arial"/>
        <color rgb="FF000000"/>
        <sz val="10.0"/>
      </rPr>
      <t>15</t>
    </r>
    <r>
      <rPr>
        <rFont val="MingLiU"/>
        <color rgb="FF000000"/>
        <sz val="10.0"/>
      </rPr>
      <t>，然後回到未行動狀態。</t>
    </r>
  </si>
  <si>
    <t>〈如月〉雪解</t>
  </si>
  <si>
    <r>
      <rPr>
        <rFont val="MingLiU"/>
        <color rgb="FF000000"/>
        <sz val="10.0"/>
      </rPr>
      <t>代價</t>
    </r>
    <r>
      <rPr>
        <rFont val="Arial"/>
        <color rgb="FF000000"/>
        <sz val="10.0"/>
      </rPr>
      <t xml:space="preserve">1Cost </t>
    </r>
  </si>
  <si>
    <t>「年端」、「殘月」取得、無名劍等級4以上</t>
  </si>
  <si>
    <r>
      <rPr>
        <rFont val="MingLiU"/>
        <color rgb="FF000000"/>
        <sz val="10.0"/>
      </rPr>
      <t>進行戰鬥以外判定時，你可以減少一個骰子，獲得</t>
    </r>
    <r>
      <rPr>
        <rFont val="Arial"/>
        <color rgb="FF000000"/>
        <sz val="10.0"/>
      </rPr>
      <t>1Cost</t>
    </r>
    <r>
      <rPr>
        <rFont val="MingLiU"/>
        <color rgb="FF000000"/>
        <sz val="10.0"/>
      </rPr>
      <t>，或者消耗</t>
    </r>
    <r>
      <rPr>
        <rFont val="Arial"/>
        <color rgb="FF000000"/>
        <sz val="10.0"/>
      </rPr>
      <t>1Cost</t>
    </r>
    <r>
      <rPr>
        <rFont val="MingLiU"/>
        <color rgb="FF000000"/>
        <sz val="10.0"/>
      </rPr>
      <t>，增加一個骰子。</t>
    </r>
    <r>
      <rPr>
        <rFont val="Arial"/>
        <color rgb="FF000000"/>
        <sz val="10.0"/>
      </rPr>
      <t xml:space="preserve"> 
</t>
    </r>
    <r>
      <rPr>
        <rFont val="MingLiU"/>
        <color rgb="FF000000"/>
        <sz val="10.0"/>
      </rPr>
      <t>當同區域的角色傷害擲骰時，你也進行傷害擲骰，</t>
    </r>
    <r>
      <rPr>
        <rFont val="Arial"/>
        <color rgb="FF000000"/>
        <sz val="10.0"/>
      </rPr>
      <t xml:space="preserve"> 
</t>
    </r>
    <r>
      <rPr>
        <rFont val="MingLiU"/>
        <color rgb="FF000000"/>
        <sz val="10.0"/>
      </rPr>
      <t>然後在攻擊側傷害處理時，你作為反擊側強制與之相殺。</t>
    </r>
    <r>
      <rPr>
        <rFont val="Arial"/>
        <color rgb="FF000000"/>
        <sz val="10.0"/>
      </rPr>
      <t xml:space="preserve"> 
</t>
    </r>
    <r>
      <rPr>
        <rFont val="MingLiU"/>
        <color rgb="FF000000"/>
        <sz val="10.0"/>
      </rPr>
      <t>只能使用【攻擊類型／近戰】的特技，不能追加【分類／進攻】的特技。</t>
    </r>
  </si>
  <si>
    <t>〈水無月〉伏</t>
  </si>
  <si>
    <r>
      <rPr>
        <rFont val="Arial"/>
        <color rgb="FF000000"/>
        <sz val="10.0"/>
      </rPr>
      <t>Cost</t>
    </r>
    <r>
      <rPr>
        <rFont val="MingLiU"/>
        <color rgb="FF000000"/>
        <sz val="10.0"/>
      </rPr>
      <t>上限減少</t>
    </r>
    <r>
      <rPr>
        <rFont val="Arial"/>
        <color rgb="FF000000"/>
        <sz val="10.0"/>
      </rPr>
      <t xml:space="preserve">3 </t>
    </r>
  </si>
  <si>
    <r>
      <rPr>
        <rFont val="MingLiU"/>
        <color rgb="FF000000"/>
        <sz val="10.0"/>
      </rPr>
      <t>一劇本一回，在任意的時間點立刻得到</t>
    </r>
    <r>
      <rPr>
        <rFont val="Arial"/>
        <color rgb="FF000000"/>
        <sz val="10.0"/>
      </rPr>
      <t>2+</t>
    </r>
    <r>
      <rPr>
        <rFont val="MingLiU"/>
        <color rgb="FF000000"/>
        <sz val="10.0"/>
      </rPr>
      <t>【無名劍等級／</t>
    </r>
    <r>
      <rPr>
        <rFont val="Arial"/>
        <color rgb="FF000000"/>
        <sz val="10.0"/>
      </rPr>
      <t>3</t>
    </r>
    <r>
      <rPr>
        <rFont val="MingLiU"/>
        <color rgb="FF000000"/>
        <sz val="10.0"/>
      </rPr>
      <t>】</t>
    </r>
    <r>
      <rPr>
        <rFont val="Arial"/>
        <color rgb="FF000000"/>
        <sz val="10.0"/>
      </rPr>
      <t>Cost</t>
    </r>
    <r>
      <rPr>
        <rFont val="MingLiU"/>
        <color rgb="FF000000"/>
        <sz val="10.0"/>
      </rPr>
      <t>。</t>
    </r>
    <r>
      <rPr>
        <rFont val="Arial"/>
        <color rgb="FF000000"/>
        <sz val="10.0"/>
      </rPr>
      <t xml:space="preserve"> 
</t>
    </r>
    <r>
      <rPr>
        <rFont val="MingLiU"/>
        <color rgb="FF000000"/>
        <sz val="10.0"/>
      </rPr>
      <t>並且在【戰鬥／場景】結束前，全判定得到</t>
    </r>
    <r>
      <rPr>
        <rFont val="Arial"/>
        <color rgb="FF000000"/>
        <sz val="10.0"/>
      </rPr>
      <t>+2</t>
    </r>
    <r>
      <rPr>
        <rFont val="MingLiU"/>
        <color rgb="FF000000"/>
        <sz val="10.0"/>
      </rPr>
      <t>的獎勵。</t>
    </r>
  </si>
  <si>
    <t>風水士</t>
  </si>
  <si>
    <r>
      <rPr>
        <rFont val="MingLiU"/>
        <color rgb="FF000000"/>
        <sz val="10.0"/>
      </rPr>
      <t>能力基本值</t>
    </r>
  </si>
  <si>
    <r>
      <rPr>
        <rFont val="MingLiU"/>
        <color rgb="FF000000"/>
        <sz val="10.0"/>
      </rPr>
      <t>取得特技</t>
    </r>
    <r>
      <rPr>
        <rFont val="Arial"/>
        <color rgb="FF000000"/>
        <sz val="10.0"/>
      </rPr>
      <t xml:space="preserve"> </t>
    </r>
    <r>
      <rPr>
        <rFont val="細明體"/>
        <color rgb="FF000000"/>
        <sz val="10.0"/>
      </rPr>
      <t>▲</t>
    </r>
  </si>
  <si>
    <t>得到「鬼神崇拜」，然後再選擇一個自己喜歡的特技。</t>
  </si>
  <si>
    <t>鬼神崇拜</t>
  </si>
  <si>
    <t xml:space="preserve">常時／通常 </t>
  </si>
  <si>
    <r>
      <rPr>
        <rFont val="MingLiU"/>
        <color rgb="FF000000"/>
        <sz val="10.0"/>
      </rPr>
      <t>你的精神判定</t>
    </r>
    <r>
      <rPr>
        <rFont val="Arial"/>
        <color rgb="FF000000"/>
        <sz val="10.0"/>
      </rPr>
      <t>+3</t>
    </r>
    <r>
      <rPr>
        <rFont val="MingLiU"/>
        <color rgb="FF000000"/>
        <sz val="10.0"/>
      </rPr>
      <t>，</t>
    </r>
    <r>
      <rPr>
        <rFont val="Arial"/>
        <color rgb="FF000000"/>
        <sz val="10.0"/>
      </rPr>
      <t>TP</t>
    </r>
    <r>
      <rPr>
        <rFont val="MingLiU"/>
        <color rgb="FF000000"/>
        <sz val="10.0"/>
      </rPr>
      <t>上限增加【風水士等級】</t>
    </r>
    <r>
      <rPr>
        <rFont val="Arial"/>
        <color rgb="FF000000"/>
        <sz val="10.0"/>
      </rPr>
      <t>*10</t>
    </r>
    <r>
      <rPr>
        <rFont val="MingLiU"/>
        <color rgb="FF000000"/>
        <sz val="10.0"/>
      </rPr>
      <t>。</t>
    </r>
    <r>
      <rPr>
        <rFont val="Arial"/>
        <color rgb="FF000000"/>
        <sz val="10.0"/>
      </rPr>
      <t xml:space="preserve"> 
</t>
    </r>
    <r>
      <rPr>
        <rFont val="MingLiU"/>
        <color rgb="FF000000"/>
        <sz val="10.0"/>
      </rPr>
      <t>進入【行動不能】或【行動完成】時可以宣言這個特技。</t>
    </r>
    <r>
      <rPr>
        <rFont val="Arial"/>
        <color rgb="FF000000"/>
        <sz val="10.0"/>
      </rPr>
      <t xml:space="preserve"> 
</t>
    </r>
    <r>
      <rPr>
        <rFont val="MingLiU"/>
        <color rgb="FF000000"/>
        <sz val="10.0"/>
      </rPr>
      <t>進行難度</t>
    </r>
    <r>
      <rPr>
        <rFont val="Arial"/>
        <color rgb="FF000000"/>
        <sz val="10.0"/>
      </rPr>
      <t>16</t>
    </r>
    <r>
      <rPr>
        <rFont val="MingLiU"/>
        <color rgb="FF000000"/>
        <sz val="10.0"/>
      </rPr>
      <t>的精神檢定，成功恢復生命值</t>
    </r>
    <r>
      <rPr>
        <rFont val="Arial"/>
        <color rgb="FF000000"/>
        <sz val="10.0"/>
      </rPr>
      <t>1</t>
    </r>
    <r>
      <rPr>
        <rFont val="MingLiU"/>
        <color rgb="FF000000"/>
        <sz val="10.0"/>
      </rPr>
      <t>或行動點數</t>
    </r>
    <r>
      <rPr>
        <rFont val="Arial"/>
        <color rgb="FF000000"/>
        <sz val="10.0"/>
      </rPr>
      <t>1</t>
    </r>
    <r>
      <rPr>
        <rFont val="MingLiU"/>
        <color rgb="FF000000"/>
        <sz val="10.0"/>
      </rPr>
      <t>。</t>
    </r>
    <r>
      <rPr>
        <rFont val="Arial"/>
        <color rgb="FF000000"/>
        <sz val="10.0"/>
      </rPr>
      <t xml:space="preserve"> 
</t>
    </r>
    <r>
      <rPr>
        <rFont val="MingLiU"/>
        <color rgb="FF000000"/>
        <sz val="10.0"/>
      </rPr>
      <t>直到戰鬥結束前都不能得到生命值恢復或是行動點數增加的效果。</t>
    </r>
    <r>
      <rPr>
        <rFont val="Arial"/>
        <color rgb="FF000000"/>
        <sz val="10.0"/>
      </rPr>
      <t xml:space="preserve"> 
</t>
    </r>
    <r>
      <rPr>
        <rFont val="MingLiU"/>
        <color rgb="FF000000"/>
        <sz val="10.0"/>
      </rPr>
      <t>一劇本使用三次，每使用一回難度就增加</t>
    </r>
    <r>
      <rPr>
        <rFont val="Arial"/>
        <color rgb="FF000000"/>
        <sz val="10.0"/>
      </rPr>
      <t>2</t>
    </r>
    <r>
      <rPr>
        <rFont val="MingLiU"/>
        <color rgb="FF000000"/>
        <sz val="10.0"/>
      </rPr>
      <t>。</t>
    </r>
  </si>
  <si>
    <t>雲笈七籤</t>
  </si>
  <si>
    <t xml:space="preserve">攻擊類型/射擊 </t>
  </si>
  <si>
    <r>
      <rPr>
        <rFont val="MingLiU"/>
        <color rgb="FF000000"/>
        <sz val="10.0"/>
      </rPr>
      <t>指定一個對象給予</t>
    </r>
    <r>
      <rPr>
        <rFont val="Arial"/>
        <color rgb="FF000000"/>
        <sz val="10.0"/>
      </rPr>
      <t>1D6+</t>
    </r>
    <r>
      <rPr>
        <rFont val="MingLiU"/>
        <color rgb="FF000000"/>
        <sz val="10.0"/>
      </rPr>
      <t>【風水士等級】點無視防禦傷害。</t>
    </r>
    <r>
      <rPr>
        <rFont val="Arial"/>
        <color rgb="FF000000"/>
        <sz val="10.0"/>
      </rPr>
      <t xml:space="preserve"> 
</t>
    </r>
    <r>
      <rPr>
        <rFont val="MingLiU"/>
        <color rgb="FF000000"/>
        <sz val="10.0"/>
      </rPr>
      <t>指定同區域的對象攻擊時，命中判定得到【風水士等級】點補正。</t>
    </r>
    <r>
      <rPr>
        <rFont val="Arial"/>
        <color rgb="FF000000"/>
        <sz val="10.0"/>
      </rPr>
      <t xml:space="preserve"> 
</t>
    </r>
    <r>
      <rPr>
        <rFont val="MingLiU"/>
        <color rgb="FF000000"/>
        <sz val="10.0"/>
      </rPr>
      <t>實際傷害後得到「籤」狀態，效果發揮後消除；</t>
    </r>
    <r>
      <rPr>
        <rFont val="Arial"/>
        <color rgb="FF000000"/>
        <sz val="10.0"/>
      </rPr>
      <t xml:space="preserve"> 
</t>
    </r>
    <r>
      <rPr>
        <rFont val="MingLiU"/>
        <color rgb="FF000000"/>
        <sz val="10.0"/>
      </rPr>
      <t>籤：雲笈七籤傷害擲骰可以進行兩回，各別傷害處理。</t>
    </r>
    <r>
      <rPr>
        <rFont val="Arial"/>
        <color rgb="FF000000"/>
        <sz val="10.0"/>
      </rPr>
      <t xml:space="preserve"> </t>
    </r>
  </si>
  <si>
    <t>坐取風刀</t>
  </si>
  <si>
    <r>
      <rPr>
        <rFont val="MingLiU"/>
        <color rgb="FF000000"/>
        <sz val="10.0"/>
      </rPr>
      <t>指定一個、或兩個對象給予</t>
    </r>
    <r>
      <rPr>
        <rFont val="Arial"/>
        <color rgb="FF000000"/>
        <sz val="10.0"/>
      </rPr>
      <t>(</t>
    </r>
    <r>
      <rPr>
        <rFont val="MingLiU"/>
        <color rgb="FF000000"/>
        <sz val="10.0"/>
      </rPr>
      <t>【知覺】</t>
    </r>
    <r>
      <rPr>
        <rFont val="Arial"/>
        <color rgb="FF000000"/>
        <sz val="10.0"/>
      </rPr>
      <t>D6)</t>
    </r>
    <r>
      <rPr>
        <rFont val="MingLiU"/>
        <color rgb="FF000000"/>
        <sz val="10.0"/>
      </rPr>
      <t>傷害。</t>
    </r>
    <r>
      <rPr>
        <rFont val="Arial"/>
        <color rgb="FF000000"/>
        <sz val="10.0"/>
      </rPr>
      <t xml:space="preserve"> 
</t>
    </r>
    <r>
      <rPr>
        <rFont val="MingLiU"/>
        <color rgb="FF000000"/>
        <sz val="10.0"/>
      </rPr>
      <t>指定兩個對象時坐取風刀的射程縮減為相鄰區域。</t>
    </r>
    <r>
      <rPr>
        <rFont val="Arial"/>
        <color rgb="FF000000"/>
        <sz val="10.0"/>
      </rPr>
      <t xml:space="preserve"> 
</t>
    </r>
    <r>
      <rPr>
        <rFont val="MingLiU"/>
        <color rgb="FF000000"/>
        <sz val="10.0"/>
      </rPr>
      <t>實際傷害後得到「雁風」狀態，效果發揮後消除；</t>
    </r>
    <r>
      <rPr>
        <rFont val="Arial"/>
        <color rgb="FF000000"/>
        <sz val="10.0"/>
      </rPr>
      <t xml:space="preserve"> 
</t>
    </r>
    <r>
      <rPr>
        <rFont val="MingLiU"/>
        <color rgb="FF000000"/>
        <sz val="10.0"/>
      </rPr>
      <t>雁風：你任意命中或迴避判定獲得</t>
    </r>
    <r>
      <rPr>
        <rFont val="Arial"/>
        <color rgb="FF000000"/>
        <sz val="10.0"/>
      </rPr>
      <t>+3</t>
    </r>
    <r>
      <rPr>
        <rFont val="MingLiU"/>
        <color rgb="FF000000"/>
        <sz val="10.0"/>
      </rPr>
      <t>修正。</t>
    </r>
  </si>
  <si>
    <t>太平青領書</t>
  </si>
  <si>
    <r>
      <rPr>
        <rFont val="MingLiU"/>
        <color rgb="FF000000"/>
        <sz val="10.0"/>
      </rPr>
      <t>你的「籤」增加下面效果：</t>
    </r>
    <r>
      <rPr>
        <rFont val="Arial"/>
        <color rgb="FF000000"/>
        <sz val="10.0"/>
      </rPr>
      <t xml:space="preserve"> 
</t>
    </r>
    <r>
      <rPr>
        <rFont val="MingLiU"/>
        <color rgb="FF000000"/>
        <sz val="10.0"/>
      </rPr>
      <t>每消耗一個，可對全區域任意對象解除一個不良狀態，回復【風水士等級】點</t>
    </r>
    <r>
      <rPr>
        <rFont val="Arial"/>
        <color rgb="FF000000"/>
        <sz val="10.0"/>
      </rPr>
      <t>HP</t>
    </r>
    <r>
      <rPr>
        <rFont val="MingLiU"/>
        <color rgb="FF000000"/>
        <sz val="10.0"/>
      </rPr>
      <t>。</t>
    </r>
    <r>
      <rPr>
        <rFont val="Arial"/>
        <color rgb="FF000000"/>
        <sz val="10.0"/>
      </rPr>
      <t xml:space="preserve"> 
</t>
    </r>
    <r>
      <rPr>
        <rFont val="MingLiU"/>
        <color rgb="FF000000"/>
        <sz val="10.0"/>
      </rPr>
      <t>一場戰鬥最多使用你的【風水士等級】次。</t>
    </r>
  </si>
  <si>
    <t>揮斥八極</t>
  </si>
  <si>
    <r>
      <rPr>
        <rFont val="MingLiU"/>
        <color rgb="FF000000"/>
        <sz val="10.0"/>
      </rPr>
      <t>你的「雁風」增加下面效果：</t>
    </r>
    <r>
      <rPr>
        <rFont val="Arial"/>
        <color rgb="FF000000"/>
        <sz val="10.0"/>
      </rPr>
      <t xml:space="preserve"> 
</t>
    </r>
    <r>
      <rPr>
        <rFont val="MingLiU"/>
        <color rgb="FF000000"/>
        <sz val="10.0"/>
      </rPr>
      <t>持有時，坐取風刀追加</t>
    </r>
    <r>
      <rPr>
        <rFont val="Arial"/>
        <color rgb="FF000000"/>
        <sz val="10.0"/>
      </rPr>
      <t>1D6+</t>
    </r>
    <r>
      <rPr>
        <rFont val="MingLiU"/>
        <color rgb="FF000000"/>
        <sz val="10.0"/>
      </rPr>
      <t>【雁風數量</t>
    </r>
    <r>
      <rPr>
        <rFont val="Arial"/>
        <color rgb="FF000000"/>
        <sz val="10.0"/>
      </rPr>
      <t>*2</t>
    </r>
    <r>
      <rPr>
        <rFont val="MingLiU"/>
        <color rgb="FF000000"/>
        <sz val="10.0"/>
      </rPr>
      <t>】風屬性傷害。</t>
    </r>
    <r>
      <rPr>
        <rFont val="Arial"/>
        <color rgb="FF000000"/>
        <sz val="10.0"/>
      </rPr>
      <t xml:space="preserve"> 
</t>
    </r>
    <r>
      <rPr>
        <rFont val="MingLiU"/>
        <color rgb="FF000000"/>
        <sz val="10.0"/>
      </rPr>
      <t>每一個「雁風」都帶來【知覺】</t>
    </r>
    <r>
      <rPr>
        <rFont val="Arial"/>
        <color rgb="FF000000"/>
        <sz val="10.0"/>
      </rPr>
      <t>+1(</t>
    </r>
    <r>
      <rPr>
        <rFont val="MingLiU"/>
        <color rgb="FF000000"/>
        <sz val="10.0"/>
      </rPr>
      <t>不影響戰鬥能力加算</t>
    </r>
    <r>
      <rPr>
        <rFont val="Arial"/>
        <color rgb="FF000000"/>
        <sz val="10.0"/>
      </rPr>
      <t>)</t>
    </r>
    <r>
      <rPr>
        <rFont val="MingLiU"/>
        <color rgb="FF000000"/>
        <sz val="10.0"/>
      </rPr>
      <t>及【射擊】</t>
    </r>
    <r>
      <rPr>
        <rFont val="Arial"/>
        <color rgb="FF000000"/>
        <sz val="10.0"/>
      </rPr>
      <t>+1</t>
    </r>
    <r>
      <rPr>
        <rFont val="MingLiU"/>
        <color rgb="FF000000"/>
        <sz val="10.0"/>
      </rPr>
      <t>。</t>
    </r>
    <r>
      <rPr>
        <rFont val="Arial"/>
        <color rgb="FF000000"/>
        <sz val="10.0"/>
      </rPr>
      <t xml:space="preserve"> 
</t>
    </r>
    <r>
      <rPr>
        <rFont val="MingLiU"/>
        <color rgb="FF000000"/>
        <sz val="10.0"/>
      </rPr>
      <t>戰鬥結束時消除一個「雁風」，你最多持有【風水士等級】個「雁風」。</t>
    </r>
    <r>
      <rPr>
        <rFont val="Arial"/>
        <color rgb="FF000000"/>
        <sz val="10.0"/>
      </rPr>
      <t xml:space="preserve"> 
</t>
    </r>
    <r>
      <rPr>
        <rFont val="MingLiU"/>
        <color rgb="FF000000"/>
        <sz val="10.0"/>
      </rPr>
      <t>「雁風」的持有上限為八。</t>
    </r>
  </si>
  <si>
    <t>靈文真訣</t>
  </si>
  <si>
    <t xml:space="preserve">進攻/射擊 </t>
  </si>
  <si>
    <r>
      <rPr>
        <rFont val="MingLiU"/>
        <color rgb="FF000000"/>
        <sz val="10.0"/>
      </rPr>
      <t>待機時間</t>
    </r>
    <r>
      <rPr>
        <rFont val="Arial"/>
        <color rgb="FF000000"/>
        <sz val="10.0"/>
      </rPr>
      <t xml:space="preserve">3 </t>
    </r>
  </si>
  <si>
    <r>
      <rPr>
        <rFont val="MingLiU"/>
        <color rgb="FF000000"/>
        <sz val="10.0"/>
      </rPr>
      <t>和風水士特技「雲笈七籤」或「坐取風刀」組合使用。可額外搭配進攻特技。</t>
    </r>
    <r>
      <rPr>
        <rFont val="Arial"/>
        <color rgb="FF000000"/>
        <sz val="10.0"/>
      </rPr>
      <t xml:space="preserve"> 
</t>
    </r>
    <r>
      <rPr>
        <rFont val="MingLiU"/>
        <color rgb="FF000000"/>
        <sz val="10.0"/>
      </rPr>
      <t>●雲笈七籤：即使攻擊不同區域的對象也能得到命中補正</t>
    </r>
    <r>
      <rPr>
        <rFont val="Arial"/>
        <color rgb="FF000000"/>
        <sz val="10.0"/>
      </rPr>
      <t xml:space="preserve"> 
</t>
    </r>
    <r>
      <rPr>
        <rFont val="MingLiU"/>
        <color rgb="FF000000"/>
        <sz val="10.0"/>
      </rPr>
      <t>●坐取風刀：可以自由選擇全區域兩個喜歡的對象宣言攻擊</t>
    </r>
    <r>
      <rPr>
        <rFont val="Arial"/>
        <color rgb="FF000000"/>
        <sz val="10.0"/>
      </rPr>
      <t xml:space="preserve"> 
</t>
    </r>
    <r>
      <rPr>
        <rFont val="MingLiU"/>
        <color rgb="FF000000"/>
        <sz val="10.0"/>
      </rPr>
      <t>如果不持有「籤」、「雁風」、任意一個狀態不能宣言此特技。</t>
    </r>
  </si>
  <si>
    <t>巫山桃生</t>
  </si>
  <si>
    <t xml:space="preserve">通常／進攻/射擊 </t>
  </si>
  <si>
    <r>
      <rPr>
        <rFont val="MingLiU"/>
        <color rgb="FF000000"/>
        <sz val="10.0"/>
      </rPr>
      <t>代價傷害</t>
    </r>
    <r>
      <rPr>
        <rFont val="Arial"/>
        <color rgb="FF000000"/>
        <sz val="10.0"/>
      </rPr>
      <t xml:space="preserve">4 </t>
    </r>
  </si>
  <si>
    <r>
      <rPr>
        <rFont val="MingLiU"/>
        <color rgb="FF000000"/>
        <sz val="10.0"/>
      </rPr>
      <t>實際傷害後效果，給予不良狀態「毒」。</t>
    </r>
    <r>
      <rPr>
        <rFont val="Arial"/>
        <color rgb="FF000000"/>
        <sz val="10.0"/>
      </rPr>
      <t xml:space="preserve"> 
</t>
    </r>
    <r>
      <rPr>
        <rFont val="MingLiU"/>
        <color rgb="FF000000"/>
        <sz val="10.0"/>
      </rPr>
      <t>消耗一個「籤」的話改為命中成功後給予不良狀態「毒」。</t>
    </r>
    <r>
      <rPr>
        <rFont val="Arial"/>
        <color rgb="FF000000"/>
        <sz val="10.0"/>
      </rPr>
      <t xml:space="preserve"> 
</t>
    </r>
    <r>
      <rPr>
        <rFont val="MingLiU"/>
        <color rgb="FF000000"/>
        <sz val="10.0"/>
      </rPr>
      <t>戰鬥外可對食物下毒，發覺毒需要通過難度</t>
    </r>
    <r>
      <rPr>
        <rFont val="Arial"/>
        <color rgb="FF000000"/>
        <sz val="10.0"/>
      </rPr>
      <t>6+</t>
    </r>
    <r>
      <rPr>
        <rFont val="MingLiU"/>
        <color rgb="FF000000"/>
        <sz val="10.0"/>
      </rPr>
      <t>【風水士等級】</t>
    </r>
    <r>
      <rPr>
        <rFont val="Arial"/>
        <color rgb="FF000000"/>
        <sz val="10.0"/>
      </rPr>
      <t>+</t>
    </r>
    <r>
      <rPr>
        <rFont val="MingLiU"/>
        <color rgb="FF000000"/>
        <sz val="10.0"/>
      </rPr>
      <t>下毒時「籤」數目的知覺檢定。</t>
    </r>
  </si>
  <si>
    <t>天罡正奇</t>
  </si>
  <si>
    <r>
      <rPr>
        <rFont val="MingLiU"/>
        <color rgb="FF000000"/>
        <sz val="10.0"/>
      </rPr>
      <t>代價傷害</t>
    </r>
    <r>
      <rPr>
        <rFont val="Arial"/>
        <color rgb="FF000000"/>
        <sz val="10.0"/>
      </rPr>
      <t xml:space="preserve">4 </t>
    </r>
  </si>
  <si>
    <r>
      <rPr>
        <rFont val="MingLiU"/>
        <color rgb="FF000000"/>
        <sz val="10.0"/>
      </rPr>
      <t>搭配的攻擊技能視為概念武裝。</t>
    </r>
    <r>
      <rPr>
        <rFont val="Arial"/>
        <color rgb="FF000000"/>
        <sz val="10.0"/>
      </rPr>
      <t xml:space="preserve"> 
</t>
    </r>
    <r>
      <rPr>
        <rFont val="MingLiU"/>
        <color rgb="FF000000"/>
        <sz val="10.0"/>
      </rPr>
      <t>對非人級別、背反者、敵人、英靈傷害增加【風水士等級】點。</t>
    </r>
    <r>
      <rPr>
        <rFont val="Arial"/>
        <color rgb="FF000000"/>
        <sz val="10.0"/>
      </rPr>
      <t xml:space="preserve"> 
</t>
    </r>
    <r>
      <rPr>
        <rFont val="MingLiU"/>
        <color rgb="FF000000"/>
        <sz val="10.0"/>
      </rPr>
      <t>消耗一個「雁風」的話實際傷害變為兩倍。</t>
    </r>
    <r>
      <rPr>
        <rFont val="Arial"/>
        <color rgb="FF000000"/>
        <sz val="10.0"/>
      </rPr>
      <t xml:space="preserve"> </t>
    </r>
  </si>
  <si>
    <t>秘於九天</t>
  </si>
  <si>
    <r>
      <rPr>
        <rFont val="MingLiU"/>
        <color rgb="FF000000"/>
        <sz val="10.0"/>
      </rPr>
      <t>和風水士特技「雲笈七籤」或「坐取風刀」組合使用。可額外搭配進攻特技。</t>
    </r>
    <r>
      <rPr>
        <rFont val="Arial"/>
        <color rgb="FF000000"/>
        <sz val="10.0"/>
      </rPr>
      <t xml:space="preserve"> 
</t>
    </r>
    <r>
      <rPr>
        <rFont val="MingLiU"/>
        <color rgb="FF000000"/>
        <sz val="10.0"/>
      </rPr>
      <t>實際傷害後額外得到</t>
    </r>
    <r>
      <rPr>
        <rFont val="Arial"/>
        <color rgb="FF000000"/>
        <sz val="10.0"/>
      </rPr>
      <t>1</t>
    </r>
    <r>
      <rPr>
        <rFont val="MingLiU"/>
        <color rgb="FF000000"/>
        <sz val="10.0"/>
      </rPr>
      <t>個「籤」以及「雁風」。</t>
    </r>
    <r>
      <rPr>
        <rFont val="Arial"/>
        <color rgb="FF000000"/>
        <sz val="10.0"/>
      </rPr>
      <t xml:space="preserve"> </t>
    </r>
    <r>
      <rPr>
        <rFont val="MingLiU"/>
        <color rgb="FF000000"/>
        <sz val="10.0"/>
      </rPr>
      <t>宣言時每持有「籤」、「雁風」任意一種狀態代價傷害就降低</t>
    </r>
    <r>
      <rPr>
        <rFont val="Arial"/>
        <color rgb="FF000000"/>
        <sz val="10.0"/>
      </rPr>
      <t>15</t>
    </r>
    <r>
      <rPr>
        <rFont val="MingLiU"/>
        <color rgb="FF000000"/>
        <sz val="10.0"/>
      </rPr>
      <t>。</t>
    </r>
  </si>
  <si>
    <t>道教本始</t>
  </si>
  <si>
    <t xml:space="preserve">代價傷害8 </t>
  </si>
  <si>
    <r>
      <rPr>
        <rFont val="MingLiU"/>
        <color rgb="FF000000"/>
        <sz val="10.0"/>
      </rPr>
      <t>這回合所有源自於你的傷害</t>
    </r>
    <r>
      <rPr>
        <rFont val="Arial"/>
        <color rgb="FF000000"/>
        <sz val="10.0"/>
      </rPr>
      <t>+[</t>
    </r>
    <r>
      <rPr>
        <rFont val="MingLiU"/>
        <color rgb="FF000000"/>
        <sz val="10.0"/>
      </rPr>
      <t>風水士級別等級</t>
    </r>
    <r>
      <rPr>
        <rFont val="Arial"/>
        <color rgb="FF000000"/>
        <sz val="10.0"/>
      </rPr>
      <t>]</t>
    </r>
    <r>
      <rPr>
        <rFont val="MingLiU"/>
        <color rgb="FF000000"/>
        <sz val="10.0"/>
      </rPr>
      <t>點</t>
    </r>
    <r>
      <rPr>
        <rFont val="Arial"/>
        <color rgb="FF000000"/>
        <sz val="10.0"/>
      </rPr>
      <t>(</t>
    </r>
    <r>
      <rPr>
        <rFont val="MingLiU"/>
        <color rgb="FF000000"/>
        <sz val="10.0"/>
      </rPr>
      <t>包括不良狀態所造成的傷害</t>
    </r>
    <r>
      <rPr>
        <rFont val="Arial"/>
        <color rgb="FF000000"/>
        <sz val="10.0"/>
      </rPr>
      <t>)</t>
    </r>
    <r>
      <rPr>
        <rFont val="MingLiU"/>
        <color rgb="FF000000"/>
        <sz val="10.0"/>
      </rPr>
      <t>。</t>
    </r>
    <r>
      <rPr>
        <rFont val="Arial"/>
        <color rgb="FF000000"/>
        <sz val="10.0"/>
      </rPr>
      <t xml:space="preserve"> 
</t>
    </r>
    <r>
      <rPr>
        <rFont val="MingLiU"/>
        <color rgb="FF000000"/>
        <sz val="10.0"/>
      </rPr>
      <t>宣言這個技能後擲一個</t>
    </r>
    <r>
      <rPr>
        <rFont val="Arial"/>
        <color rgb="FF000000"/>
        <sz val="10.0"/>
      </rPr>
      <t>1D6</t>
    </r>
    <r>
      <rPr>
        <rFont val="MingLiU"/>
        <color rgb="FF000000"/>
        <sz val="10.0"/>
      </rPr>
      <t>，依照單、雙數結果套用下面效果：</t>
    </r>
    <r>
      <rPr>
        <rFont val="Arial"/>
        <color rgb="FF000000"/>
        <sz val="10.0"/>
      </rPr>
      <t xml:space="preserve"> 
</t>
    </r>
    <r>
      <rPr>
        <rFont val="MingLiU"/>
        <color rgb="FF000000"/>
        <sz val="10.0"/>
      </rPr>
      <t>●單數：你獲得特技「雲笈七籤」；已持有該特技則直接得到「籤」狀態。</t>
    </r>
    <r>
      <rPr>
        <rFont val="Arial"/>
        <color rgb="FF000000"/>
        <sz val="10.0"/>
      </rPr>
      <t xml:space="preserve"> 
</t>
    </r>
    <r>
      <rPr>
        <rFont val="MingLiU"/>
        <color rgb="FF000000"/>
        <sz val="10.0"/>
      </rPr>
      <t>●雙數：你獲得特技「坐取風刀」；已持有該特技則直接得到「雁風」狀態。</t>
    </r>
    <r>
      <rPr>
        <rFont val="Arial"/>
        <color rgb="FF000000"/>
        <sz val="10.0"/>
      </rPr>
      <t xml:space="preserve"> 
</t>
    </r>
    <r>
      <rPr>
        <rFont val="MingLiU"/>
        <color rgb="FF000000"/>
        <sz val="10.0"/>
      </rPr>
      <t>因這個技能得到的特技會在結束階段破棄。</t>
    </r>
  </si>
  <si>
    <t>聖道加護</t>
  </si>
  <si>
    <r>
      <rPr>
        <rFont val="MingLiU"/>
        <color rgb="FF000000"/>
        <sz val="10.0"/>
      </rPr>
      <t>除了你以外同區域的所有己方角色為對象。</t>
    </r>
    <r>
      <rPr>
        <rFont val="Arial"/>
        <color rgb="FF000000"/>
        <sz val="10.0"/>
      </rPr>
      <t xml:space="preserve"> 
</t>
    </r>
    <r>
      <rPr>
        <rFont val="MingLiU"/>
        <color rgb="FF000000"/>
        <sz val="10.0"/>
      </rPr>
      <t>對象該回合攻擊類型特技追加</t>
    </r>
    <r>
      <rPr>
        <rFont val="Arial"/>
        <color rgb="FF000000"/>
        <sz val="10.0"/>
      </rPr>
      <t>1D6</t>
    </r>
    <r>
      <rPr>
        <rFont val="MingLiU"/>
        <color rgb="FF000000"/>
        <sz val="10.0"/>
      </rPr>
      <t>傷害。</t>
    </r>
    <r>
      <rPr>
        <rFont val="Arial"/>
        <color rgb="FF000000"/>
        <sz val="10.0"/>
      </rPr>
      <t xml:space="preserve"> 
</t>
    </r>
    <r>
      <rPr>
        <rFont val="MingLiU"/>
        <color rgb="FF000000"/>
        <sz val="10.0"/>
      </rPr>
      <t>消耗一個「雁風」的話額外增加</t>
    </r>
    <r>
      <rPr>
        <rFont val="Arial"/>
        <color rgb="FF000000"/>
        <sz val="10.0"/>
      </rPr>
      <t>[</t>
    </r>
    <r>
      <rPr>
        <rFont val="MingLiU"/>
        <color rgb="FF000000"/>
        <sz val="10.0"/>
      </rPr>
      <t>你的風水士級別等級</t>
    </r>
    <r>
      <rPr>
        <rFont val="Arial"/>
        <color rgb="FF000000"/>
        <sz val="10.0"/>
      </rPr>
      <t>]</t>
    </r>
    <r>
      <rPr>
        <rFont val="MingLiU"/>
        <color rgb="FF000000"/>
        <sz val="10.0"/>
      </rPr>
      <t>點傷害。</t>
    </r>
    <r>
      <rPr>
        <rFont val="Arial"/>
        <color rgb="FF000000"/>
        <sz val="10.0"/>
      </rPr>
      <t xml:space="preserve"> 
</t>
    </r>
    <r>
      <rPr>
        <rFont val="MingLiU"/>
        <color rgb="FF000000"/>
        <sz val="10.0"/>
      </rPr>
      <t>持有八個「雁風」時不消耗「雁風」並可以全區域的己方角色為對象。</t>
    </r>
  </si>
  <si>
    <t>喚術‧動物靈</t>
  </si>
  <si>
    <t xml:space="preserve">代價傷害30-[持有籤個數*5] </t>
  </si>
  <si>
    <t xml:space="preserve">20(動物靈被擊倒時取得) </t>
  </si>
  <si>
    <r>
      <rPr>
        <rFont val="MingLiU"/>
        <color rgb="FF000000"/>
        <sz val="10.0"/>
      </rPr>
      <t>你召喚一隻動物靈和你同區域登場。</t>
    </r>
    <r>
      <rPr>
        <rFont val="Arial"/>
        <color rgb="FF000000"/>
        <sz val="10.0"/>
      </rPr>
      <t xml:space="preserve"> 
</t>
    </r>
    <r>
      <rPr>
        <rFont val="MingLiU"/>
        <color rgb="FF000000"/>
        <sz val="10.0"/>
      </rPr>
      <t>動物靈所在的區域，所有己方角色得到迴避、對抗判定</t>
    </r>
    <r>
      <rPr>
        <rFont val="Arial"/>
        <color rgb="FF000000"/>
        <sz val="10.0"/>
      </rPr>
      <t>+1</t>
    </r>
    <r>
      <rPr>
        <rFont val="MingLiU"/>
        <color rgb="FF000000"/>
        <sz val="10.0"/>
      </rPr>
      <t>的獎勵。</t>
    </r>
    <r>
      <rPr>
        <rFont val="Arial"/>
        <color rgb="FF000000"/>
        <sz val="10.0"/>
      </rPr>
      <t xml:space="preserve"> 
</t>
    </r>
    <r>
      <rPr>
        <rFont val="MingLiU"/>
        <color rgb="FF000000"/>
        <sz val="10.0"/>
      </rPr>
      <t>你得到「籤」或「雁風」時可以額外多得到</t>
    </r>
    <r>
      <rPr>
        <rFont val="Arial"/>
        <color rgb="FF000000"/>
        <sz val="10.0"/>
      </rPr>
      <t>1</t>
    </r>
    <r>
      <rPr>
        <rFont val="MingLiU"/>
        <color rgb="FF000000"/>
        <sz val="10.0"/>
      </rPr>
      <t>個。</t>
    </r>
    <r>
      <rPr>
        <rFont val="Arial"/>
        <color rgb="FF000000"/>
        <sz val="10.0"/>
      </rPr>
      <t xml:space="preserve"> 
</t>
    </r>
    <r>
      <rPr>
        <rFont val="MingLiU"/>
        <color rgb="FF000000"/>
        <sz val="10.0"/>
      </rPr>
      <t>動物靈沒有時間限制，但被擊倒就會解除，劇本結束前無法再次使用。</t>
    </r>
    <r>
      <rPr>
        <rFont val="Arial"/>
        <color rgb="FF000000"/>
        <sz val="10.0"/>
      </rPr>
      <t xml:space="preserve"> 
</t>
    </r>
    <r>
      <rPr>
        <rFont val="MingLiU"/>
        <color rgb="FF000000"/>
        <sz val="10.0"/>
      </rPr>
      <t>動物靈套用幻燈之貓的能力，無法進行任何戰鬥階段，但可以被攻擊。</t>
    </r>
    <r>
      <rPr>
        <rFont val="Arial"/>
        <color rgb="FF000000"/>
        <sz val="10.0"/>
      </rPr>
      <t xml:space="preserve"> 
</t>
    </r>
    <r>
      <rPr>
        <rFont val="MingLiU"/>
        <color rgb="FF000000"/>
        <sz val="10.0"/>
      </rPr>
      <t>你能在除了偷襲以外的任何階段瞬間收回動物靈取消技能。</t>
    </r>
  </si>
  <si>
    <t>喚術‧自然之靈</t>
  </si>
  <si>
    <t xml:space="preserve">代價傷害30-[持有雁風個數*5] </t>
  </si>
  <si>
    <r>
      <rPr>
        <rFont val="MingLiU"/>
        <color rgb="FF000000"/>
        <sz val="10.0"/>
      </rPr>
      <t>你召喚一隻自然之靈，結束階段前成為你的特技。</t>
    </r>
    <r>
      <rPr>
        <rFont val="Arial"/>
        <color rgb="FF000000"/>
        <sz val="10.0"/>
      </rPr>
      <t xml:space="preserve"> 
</t>
    </r>
    <r>
      <rPr>
        <rFont val="MingLiU"/>
        <color rgb="FF000000"/>
        <sz val="10.0"/>
      </rPr>
      <t>這特技具有給予防禦側最大生命值</t>
    </r>
    <r>
      <rPr>
        <rFont val="Arial"/>
        <color rgb="FF000000"/>
        <sz val="10.0"/>
      </rPr>
      <t>50%</t>
    </r>
    <r>
      <rPr>
        <rFont val="MingLiU"/>
        <color rgb="FF000000"/>
        <sz val="10.0"/>
      </rPr>
      <t>傷害的能力。</t>
    </r>
    <r>
      <rPr>
        <rFont val="Arial"/>
        <color rgb="FF000000"/>
        <sz val="10.0"/>
      </rPr>
      <t xml:space="preserve"> 
</t>
    </r>
    <r>
      <rPr>
        <rFont val="MingLiU"/>
        <color rgb="FF000000"/>
        <sz val="10.0"/>
      </rPr>
      <t>攻擊時防禦側進行難度《</t>
    </r>
    <r>
      <rPr>
        <rFont val="Arial"/>
        <color rgb="FF000000"/>
        <sz val="10.0"/>
      </rPr>
      <t>5</t>
    </r>
    <r>
      <rPr>
        <rFont val="MingLiU"/>
        <color rgb="FF000000"/>
        <sz val="10.0"/>
      </rPr>
      <t>》的意志檢定，失敗的話才會受到傷害。</t>
    </r>
    <r>
      <rPr>
        <rFont val="Arial"/>
        <color rgb="FF000000"/>
        <sz val="10.0"/>
      </rPr>
      <t xml:space="preserve"> 
</t>
    </r>
    <r>
      <rPr>
        <rFont val="MingLiU"/>
        <color rgb="FF000000"/>
        <sz val="10.0"/>
      </rPr>
      <t>你每持有一個「雁風」就在難度上</t>
    </r>
    <r>
      <rPr>
        <rFont val="Arial"/>
        <color rgb="FF000000"/>
        <sz val="10.0"/>
      </rPr>
      <t>+1</t>
    </r>
    <r>
      <rPr>
        <rFont val="MingLiU"/>
        <color rgb="FF000000"/>
        <sz val="10.0"/>
      </rPr>
      <t>，如果這是個偷襲的話《》內的值</t>
    </r>
    <r>
      <rPr>
        <rFont val="Arial"/>
        <color rgb="FF000000"/>
        <sz val="10.0"/>
      </rPr>
      <t>*2</t>
    </r>
    <r>
      <rPr>
        <rFont val="MingLiU"/>
        <color rgb="FF000000"/>
        <sz val="10.0"/>
      </rPr>
      <t>。</t>
    </r>
    <r>
      <rPr>
        <rFont val="Arial"/>
        <color rgb="FF000000"/>
        <sz val="10.0"/>
      </rPr>
      <t xml:space="preserve"> </t>
    </r>
  </si>
  <si>
    <t>華胥氏之國</t>
  </si>
  <si>
    <r>
      <rPr>
        <rFont val="MingLiU"/>
        <color rgb="FF000000"/>
        <sz val="10.0"/>
      </rPr>
      <t>一戰鬥一回，指定同區域一個行動擲骰結束、擲骰低於你的角色為對象。</t>
    </r>
    <r>
      <rPr>
        <rFont val="Arial"/>
        <color rgb="FF000000"/>
        <sz val="10.0"/>
      </rPr>
      <t xml:space="preserve"> 
</t>
    </r>
    <r>
      <rPr>
        <rFont val="MingLiU"/>
        <color rgb="FF000000"/>
        <sz val="10.0"/>
      </rPr>
      <t>對象和你都進入</t>
    </r>
    <r>
      <rPr>
        <rFont val="Arial"/>
        <color rgb="FF000000"/>
        <sz val="10.0"/>
      </rPr>
      <t>[</t>
    </r>
    <r>
      <rPr>
        <rFont val="MingLiU"/>
        <color rgb="FF000000"/>
        <sz val="10.0"/>
      </rPr>
      <t>行動完成狀態</t>
    </r>
    <r>
      <rPr>
        <rFont val="Arial"/>
        <color rgb="FF000000"/>
        <sz val="10.0"/>
      </rPr>
      <t>]</t>
    </r>
    <r>
      <rPr>
        <rFont val="MingLiU"/>
        <color rgb="FF000000"/>
        <sz val="10.0"/>
      </rPr>
      <t>。</t>
    </r>
    <r>
      <rPr>
        <rFont val="Arial"/>
        <color rgb="FF000000"/>
        <sz val="10.0"/>
      </rPr>
      <t xml:space="preserve"> 
</t>
    </r>
    <r>
      <rPr>
        <rFont val="MingLiU"/>
        <color rgb="FF000000"/>
        <sz val="10.0"/>
      </rPr>
      <t>消耗一個「籤」或「雁風」的話，可以從全區域中選擇對象。</t>
    </r>
  </si>
  <si>
    <t>三清境</t>
  </si>
  <si>
    <r>
      <rPr>
        <rFont val="MingLiU"/>
        <color rgb="FF000000"/>
        <sz val="10.0"/>
      </rPr>
      <t>一日最多一回，從下列效果中擇一使用：</t>
    </r>
    <r>
      <rPr>
        <rFont val="Arial"/>
        <color rgb="FF000000"/>
        <sz val="10.0"/>
      </rPr>
      <t xml:space="preserve"> 
</t>
    </r>
    <r>
      <rPr>
        <rFont val="MingLiU"/>
        <color rgb="FF000000"/>
        <sz val="10.0"/>
      </rPr>
      <t>●消耗</t>
    </r>
    <r>
      <rPr>
        <rFont val="Arial"/>
        <color rgb="FF000000"/>
        <sz val="10.0"/>
      </rPr>
      <t>10</t>
    </r>
    <r>
      <rPr>
        <rFont val="MingLiU"/>
        <color rgb="FF000000"/>
        <sz val="10.0"/>
      </rPr>
      <t>點情緒值，回復</t>
    </r>
    <r>
      <rPr>
        <rFont val="Arial"/>
        <color rgb="FF000000"/>
        <sz val="10.0"/>
      </rPr>
      <t>15+[</t>
    </r>
    <r>
      <rPr>
        <rFont val="MingLiU"/>
        <color rgb="FF000000"/>
        <sz val="10.0"/>
      </rPr>
      <t>籤數量</t>
    </r>
    <r>
      <rPr>
        <rFont val="Arial"/>
        <color rgb="FF000000"/>
        <sz val="10.0"/>
      </rPr>
      <t>*2]</t>
    </r>
    <r>
      <rPr>
        <rFont val="MingLiU"/>
        <color rgb="FF000000"/>
        <sz val="10.0"/>
      </rPr>
      <t>點生命值</t>
    </r>
    <r>
      <rPr>
        <rFont val="Arial"/>
        <color rgb="FF000000"/>
        <sz val="10.0"/>
      </rPr>
      <t xml:space="preserve"> 
</t>
    </r>
    <r>
      <rPr>
        <rFont val="MingLiU"/>
        <color rgb="FF000000"/>
        <sz val="10.0"/>
      </rPr>
      <t>●消耗</t>
    </r>
    <r>
      <rPr>
        <rFont val="Arial"/>
        <color rgb="FF000000"/>
        <sz val="10.0"/>
      </rPr>
      <t>10</t>
    </r>
    <r>
      <rPr>
        <rFont val="MingLiU"/>
        <color rgb="FF000000"/>
        <sz val="10.0"/>
      </rPr>
      <t>點生命值，回復</t>
    </r>
    <r>
      <rPr>
        <rFont val="Arial"/>
        <color rgb="FF000000"/>
        <sz val="10.0"/>
      </rPr>
      <t>25+[</t>
    </r>
    <r>
      <rPr>
        <rFont val="MingLiU"/>
        <color rgb="FF000000"/>
        <sz val="10.0"/>
      </rPr>
      <t>雁風數量</t>
    </r>
    <r>
      <rPr>
        <rFont val="Arial"/>
        <color rgb="FF000000"/>
        <sz val="10.0"/>
      </rPr>
      <t>*2]</t>
    </r>
    <r>
      <rPr>
        <rFont val="MingLiU"/>
        <color rgb="FF000000"/>
        <sz val="10.0"/>
      </rPr>
      <t>點情緒值</t>
    </r>
    <r>
      <rPr>
        <rFont val="Arial"/>
        <color rgb="FF000000"/>
        <sz val="10.0"/>
      </rPr>
      <t xml:space="preserve"> </t>
    </r>
  </si>
  <si>
    <t>元玄生陰</t>
  </si>
  <si>
    <t xml:space="preserve">代價傷害6-[籤數量] </t>
  </si>
  <si>
    <r>
      <rPr>
        <rFont val="MingLiU"/>
        <color rgb="FF000000"/>
        <sz val="10.0"/>
      </rPr>
      <t>戰鬥外使用。使用【體力】的檢定改為用【知覺】檢定；</t>
    </r>
    <r>
      <rPr>
        <rFont val="Arial"/>
        <color rgb="FF000000"/>
        <sz val="10.0"/>
      </rPr>
      <t xml:space="preserve"> 
</t>
    </r>
    <r>
      <rPr>
        <rFont val="MingLiU"/>
        <color rgb="FF000000"/>
        <sz val="10.0"/>
      </rPr>
      <t>使用【知覺】檢定的判定得到會心－《１》的獎勵。</t>
    </r>
    <r>
      <rPr>
        <rFont val="Arial"/>
        <color rgb="FF000000"/>
        <sz val="10.0"/>
      </rPr>
      <t xml:space="preserve"> 
</t>
    </r>
    <r>
      <rPr>
        <rFont val="MingLiU"/>
        <color rgb="FF000000"/>
        <sz val="10.0"/>
      </rPr>
      <t>每追加消耗一個雁風就可以在通常判定重新擲骰一回。</t>
    </r>
  </si>
  <si>
    <r>
      <rPr>
        <rFont val="MingLiU"/>
        <color rgb="FF000000"/>
        <sz val="10.0"/>
      </rPr>
      <t>額外特技</t>
    </r>
    <r>
      <rPr>
        <rFont val="Arial"/>
        <color rgb="FF000000"/>
        <sz val="10.0"/>
      </rPr>
      <t xml:space="preserve"> </t>
    </r>
    <r>
      <rPr>
        <rFont val="MingLiU"/>
        <color rgb="FF000000"/>
        <sz val="10.0"/>
      </rPr>
      <t>▲</t>
    </r>
  </si>
  <si>
    <t>四方四象</t>
  </si>
  <si>
    <t xml:space="preserve">「鬼神崇拜」、「喚術任一」 </t>
  </si>
  <si>
    <r>
      <rPr>
        <rFont val="MingLiU"/>
        <color rgb="FF000000"/>
        <sz val="10.0"/>
      </rPr>
      <t>對你「喚術」技能賦予四方的意義，一次只能附予一種效果。</t>
    </r>
    <r>
      <rPr>
        <rFont val="Arial"/>
        <color rgb="FF000000"/>
        <sz val="10.0"/>
      </rPr>
      <t xml:space="preserve"> 
</t>
    </r>
    <r>
      <rPr>
        <rFont val="MingLiU"/>
        <color rgb="FF000000"/>
        <sz val="10.0"/>
      </rPr>
      <t>●朱雀：同區域己方角色情緒獎勵</t>
    </r>
    <r>
      <rPr>
        <rFont val="Arial"/>
        <color rgb="FF000000"/>
        <sz val="10.0"/>
      </rPr>
      <t>+2D6</t>
    </r>
    <r>
      <rPr>
        <rFont val="MingLiU"/>
        <color rgb="FF000000"/>
        <sz val="10.0"/>
      </rPr>
      <t>。</t>
    </r>
    <r>
      <rPr>
        <rFont val="Arial"/>
        <color rgb="FF000000"/>
        <sz val="10.0"/>
      </rPr>
      <t xml:space="preserve"> 
</t>
    </r>
    <r>
      <rPr>
        <rFont val="MingLiU"/>
        <color rgb="FF000000"/>
        <sz val="10.0"/>
      </rPr>
      <t>●玄武：同區域己方角色防禦力</t>
    </r>
    <r>
      <rPr>
        <rFont val="Arial"/>
        <color rgb="FF000000"/>
        <sz val="10.0"/>
      </rPr>
      <t>+[</t>
    </r>
    <r>
      <rPr>
        <rFont val="MingLiU"/>
        <color rgb="FF000000"/>
        <sz val="10.0"/>
      </rPr>
      <t>風水士級別等級</t>
    </r>
    <r>
      <rPr>
        <rFont val="Arial"/>
        <color rgb="FF000000"/>
        <sz val="10.0"/>
      </rPr>
      <t>]</t>
    </r>
    <r>
      <rPr>
        <rFont val="MingLiU"/>
        <color rgb="FF000000"/>
        <sz val="10.0"/>
      </rPr>
      <t>點。</t>
    </r>
    <r>
      <rPr>
        <rFont val="Arial"/>
        <color rgb="FF000000"/>
        <sz val="10.0"/>
      </rPr>
      <t xml:space="preserve"> 
</t>
    </r>
    <r>
      <rPr>
        <rFont val="MingLiU"/>
        <color rgb="FF000000"/>
        <sz val="10.0"/>
      </rPr>
      <t>●青龍：自然之靈的判定難度增加</t>
    </r>
    <r>
      <rPr>
        <rFont val="Arial"/>
        <color rgb="FF000000"/>
        <sz val="10.0"/>
      </rPr>
      <t>[</t>
    </r>
    <r>
      <rPr>
        <rFont val="MingLiU"/>
        <color rgb="FF000000"/>
        <sz val="10.0"/>
      </rPr>
      <t>風水士級別等級</t>
    </r>
    <r>
      <rPr>
        <rFont val="Arial"/>
        <color rgb="FF000000"/>
        <sz val="10.0"/>
      </rPr>
      <t>/2]</t>
    </r>
    <r>
      <rPr>
        <rFont val="MingLiU"/>
        <color rgb="FF000000"/>
        <sz val="10.0"/>
      </rPr>
      <t>點。</t>
    </r>
    <r>
      <rPr>
        <rFont val="Arial"/>
        <color rgb="FF000000"/>
        <sz val="10.0"/>
      </rPr>
      <t xml:space="preserve"> 
</t>
    </r>
    <r>
      <rPr>
        <rFont val="MingLiU"/>
        <color rgb="FF000000"/>
        <sz val="10.0"/>
      </rPr>
      <t>●白虎：自然之靈的判定進行兩次、取其低者。</t>
    </r>
    <r>
      <rPr>
        <rFont val="Arial"/>
        <color rgb="FF000000"/>
        <sz val="10.0"/>
      </rPr>
      <t xml:space="preserve"> </t>
    </r>
  </si>
  <si>
    <t>四十九道守護陣式</t>
  </si>
  <si>
    <t xml:space="preserve">代價傷害30-[已經召喚動物靈的話減10] </t>
  </si>
  <si>
    <r>
      <rPr>
        <rFont val="MingLiU"/>
        <color rgb="FF000000"/>
        <sz val="10.0"/>
      </rPr>
      <t>指定一個戰鬥區域，當中所有己方角色為對象。</t>
    </r>
    <r>
      <rPr>
        <rFont val="Arial"/>
        <color rgb="FF000000"/>
        <sz val="10.0"/>
      </rPr>
      <t xml:space="preserve"> 
</t>
    </r>
    <r>
      <rPr>
        <rFont val="MingLiU"/>
        <color rgb="FF000000"/>
        <sz val="10.0"/>
      </rPr>
      <t>得到</t>
    </r>
    <r>
      <rPr>
        <rFont val="Arial"/>
        <color rgb="FF000000"/>
        <sz val="10.0"/>
      </rPr>
      <t>5*</t>
    </r>
    <r>
      <rPr>
        <rFont val="MingLiU"/>
        <color rgb="FF000000"/>
        <sz val="10.0"/>
      </rPr>
      <t>《消耗雁風數量》點的虛擬生命值，受到的傷害優先從中扣除。</t>
    </r>
    <r>
      <rPr>
        <rFont val="Arial"/>
        <color rgb="FF000000"/>
        <sz val="10.0"/>
      </rPr>
      <t xml:space="preserve"> 
</t>
    </r>
    <r>
      <rPr>
        <rFont val="MingLiU"/>
        <color rgb="FF000000"/>
        <sz val="10.0"/>
      </rPr>
      <t>若已召喚四方四象的動物靈，範圍變更為全區域覆蓋。四方四象的輔助效果也會因此延伸為全區域。</t>
    </r>
    <r>
      <rPr>
        <rFont val="Arial"/>
        <color rgb="FF000000"/>
        <sz val="10.0"/>
      </rPr>
      <t xml:space="preserve"> 
</t>
    </r>
    <r>
      <rPr>
        <rFont val="MingLiU"/>
        <color rgb="FF000000"/>
        <sz val="10.0"/>
      </rPr>
      <t>效果持續到結束階段，結束階段時所有虛擬生命值破棄。</t>
    </r>
    <r>
      <rPr>
        <rFont val="Arial"/>
        <color rgb="FF000000"/>
        <sz val="10.0"/>
      </rPr>
      <t xml:space="preserve"> </t>
    </r>
  </si>
  <si>
    <t>七十七路殺伐陣式</t>
  </si>
  <si>
    <t xml:space="preserve">代價傷害30-[已經召喚自然之靈的話減10] </t>
  </si>
  <si>
    <r>
      <rPr>
        <rFont val="MingLiU"/>
        <color rgb="FF000000"/>
        <sz val="10.0"/>
      </rPr>
      <t>指定一個戰鬥區域，當中所有己方角色為對象。</t>
    </r>
    <r>
      <rPr>
        <rFont val="Arial"/>
        <color rgb="FF000000"/>
        <sz val="10.0"/>
      </rPr>
      <t xml:space="preserve"> 
</t>
    </r>
    <r>
      <rPr>
        <rFont val="MingLiU"/>
        <color rgb="FF000000"/>
        <sz val="10.0"/>
      </rPr>
      <t>攻擊時得到</t>
    </r>
    <r>
      <rPr>
        <rFont val="Arial"/>
        <color rgb="FF000000"/>
        <sz val="10.0"/>
      </rPr>
      <t>[</t>
    </r>
    <r>
      <rPr>
        <rFont val="MingLiU"/>
        <color rgb="FF000000"/>
        <sz val="10.0"/>
      </rPr>
      <t>消耗雁風數量</t>
    </r>
    <r>
      <rPr>
        <rFont val="Arial"/>
        <color rgb="FF000000"/>
        <sz val="10.0"/>
      </rPr>
      <t>/2]D6</t>
    </r>
    <r>
      <rPr>
        <rFont val="MingLiU"/>
        <color rgb="FF000000"/>
        <sz val="10.0"/>
      </rPr>
      <t>的追加傷害。</t>
    </r>
    <r>
      <rPr>
        <rFont val="Arial"/>
        <color rgb="FF000000"/>
        <sz val="10.0"/>
      </rPr>
      <t xml:space="preserve"> 
</t>
    </r>
    <r>
      <rPr>
        <rFont val="MingLiU"/>
        <color rgb="FF000000"/>
        <sz val="10.0"/>
      </rPr>
      <t>如果同時召喚有四相之力的動物靈，範圍變更為全區域覆蓋。</t>
    </r>
    <r>
      <rPr>
        <rFont val="Arial"/>
        <color rgb="FF000000"/>
        <sz val="10.0"/>
      </rPr>
      <t xml:space="preserve"> 
</t>
    </r>
    <r>
      <rPr>
        <rFont val="MingLiU"/>
        <color rgb="FF000000"/>
        <sz val="10.0"/>
      </rPr>
      <t>●有青龍之力時，變更為得到</t>
    </r>
    <r>
      <rPr>
        <rFont val="Arial"/>
        <color rgb="FF000000"/>
        <sz val="10.0"/>
      </rPr>
      <t>[</t>
    </r>
    <r>
      <rPr>
        <rFont val="MingLiU"/>
        <color rgb="FF000000"/>
        <sz val="10.0"/>
      </rPr>
      <t>消耗雁風數量</t>
    </r>
    <r>
      <rPr>
        <rFont val="Arial"/>
        <color rgb="FF000000"/>
        <sz val="10.0"/>
      </rPr>
      <t>/2]D6</t>
    </r>
    <r>
      <rPr>
        <rFont val="MingLiU"/>
        <color rgb="FF000000"/>
        <sz val="10.0"/>
      </rPr>
      <t>的追加傷害或命中。</t>
    </r>
    <r>
      <rPr>
        <rFont val="Arial"/>
        <color rgb="FF000000"/>
        <sz val="10.0"/>
      </rPr>
      <t xml:space="preserve"> 
</t>
    </r>
    <r>
      <rPr>
        <rFont val="MingLiU"/>
        <color rgb="FF000000"/>
        <sz val="10.0"/>
      </rPr>
      <t>●有白虎之力時，追加傷害擲骰可以進行兩次取其高者。</t>
    </r>
    <r>
      <rPr>
        <rFont val="Arial"/>
        <color rgb="FF000000"/>
        <sz val="10.0"/>
      </rPr>
      <t xml:space="preserve"> 
</t>
    </r>
    <r>
      <rPr>
        <rFont val="MingLiU"/>
        <color rgb="FF000000"/>
        <sz val="10.0"/>
      </rPr>
      <t>效果持續到結束階段。</t>
    </r>
  </si>
  <si>
    <t>天儀雙行破魔印</t>
  </si>
  <si>
    <t xml:space="preserve">代價傷害25、待機時間7 </t>
  </si>
  <si>
    <t xml:space="preserve">「天罡正奇」、「聖道加護」取得 </t>
  </si>
  <si>
    <r>
      <rPr>
        <rFont val="MingLiU"/>
        <color rgb="FF000000"/>
        <sz val="10.0"/>
      </rPr>
      <t>每持有「籤」、「雁風」任意一個狀態追加</t>
    </r>
    <r>
      <rPr>
        <rFont val="Arial"/>
        <color rgb="FF000000"/>
        <sz val="10.0"/>
      </rPr>
      <t>3D6</t>
    </r>
    <r>
      <rPr>
        <rFont val="MingLiU"/>
        <color rgb="FF000000"/>
        <sz val="10.0"/>
      </rPr>
      <t>傷害與</t>
    </r>
    <r>
      <rPr>
        <rFont val="Arial"/>
        <color rgb="FF000000"/>
        <sz val="10.0"/>
      </rPr>
      <t>1D6</t>
    </r>
    <r>
      <rPr>
        <rFont val="MingLiU"/>
        <color rgb="FF000000"/>
        <sz val="10.0"/>
      </rPr>
      <t>命中。</t>
    </r>
    <r>
      <rPr>
        <rFont val="Arial"/>
        <color rgb="FF000000"/>
        <sz val="10.0"/>
      </rPr>
      <t xml:space="preserve"> 
</t>
    </r>
    <r>
      <rPr>
        <rFont val="MingLiU"/>
        <color rgb="FF000000"/>
        <sz val="10.0"/>
      </rPr>
      <t>主要階段結束後解除所有的「籤」、「雁風」並進入行動完成狀態。</t>
    </r>
    <r>
      <rPr>
        <rFont val="Arial"/>
        <color rgb="FF000000"/>
        <sz val="10.0"/>
      </rPr>
      <t xml:space="preserve"> </t>
    </r>
  </si>
  <si>
    <t>封禪書</t>
  </si>
  <si>
    <t xml:space="preserve">「雲笈七籤」取得、風水士等級4以上 </t>
  </si>
  <si>
    <r>
      <rPr>
        <rFont val="MingLiU"/>
        <color rgb="FF000000"/>
        <sz val="10.0"/>
      </rPr>
      <t>必須持有</t>
    </r>
    <r>
      <rPr>
        <rFont val="Arial"/>
        <color rgb="FF000000"/>
        <sz val="10.0"/>
      </rPr>
      <t>7</t>
    </r>
    <r>
      <rPr>
        <rFont val="MingLiU"/>
        <color rgb="FF000000"/>
        <sz val="10.0"/>
      </rPr>
      <t>個籤以上才能宣言技能。</t>
    </r>
    <r>
      <rPr>
        <rFont val="Arial"/>
        <color rgb="FF000000"/>
        <sz val="10.0"/>
      </rPr>
      <t xml:space="preserve"> 
</t>
    </r>
    <r>
      <rPr>
        <rFont val="MingLiU"/>
        <color rgb="FF000000"/>
        <sz val="10.0"/>
      </rPr>
      <t>消耗掉籤後，你可以從下面道具擇一取得。</t>
    </r>
    <r>
      <rPr>
        <rFont val="Arial"/>
        <color rgb="FF000000"/>
        <sz val="10.0"/>
      </rPr>
      <t xml:space="preserve"> 
</t>
    </r>
    <r>
      <rPr>
        <rFont val="MingLiU"/>
        <color rgb="FF000000"/>
        <sz val="10.0"/>
      </rPr>
      <t>●修身千二百歲矣：瞬間恢復一個同區域的對象最大生命的</t>
    </r>
    <r>
      <rPr>
        <rFont val="Arial"/>
        <color rgb="FF000000"/>
        <sz val="10.0"/>
      </rPr>
      <t xml:space="preserve">70% 
</t>
    </r>
    <r>
      <rPr>
        <rFont val="MingLiU"/>
        <color rgb="FF000000"/>
        <sz val="10.0"/>
      </rPr>
      <t>●吾形未嘗衰：可以讓你和隊友玩「透明人間」，接觸其他生命體時現身。</t>
    </r>
    <r>
      <rPr>
        <rFont val="Arial"/>
        <color rgb="FF000000"/>
        <sz val="10.0"/>
      </rPr>
      <t xml:space="preserve"> 
</t>
    </r>
    <r>
      <rPr>
        <rFont val="MingLiU"/>
        <color rgb="FF000000"/>
        <sz val="10.0"/>
      </rPr>
      <t>距離你</t>
    </r>
    <r>
      <rPr>
        <rFont val="Arial"/>
        <color rgb="FF000000"/>
        <sz val="10.0"/>
      </rPr>
      <t>15cm</t>
    </r>
    <r>
      <rPr>
        <rFont val="MingLiU"/>
        <color rgb="FF000000"/>
        <sz val="10.0"/>
      </rPr>
      <t>近時才能進行看破對抗，難度為</t>
    </r>
    <r>
      <rPr>
        <rFont val="Arial"/>
        <color rgb="FF000000"/>
        <sz val="10.0"/>
      </rPr>
      <t>2d6+</t>
    </r>
    <r>
      <rPr>
        <rFont val="MingLiU"/>
        <color rgb="FF000000"/>
        <sz val="10.0"/>
      </rPr>
      <t>【知覺】</t>
    </r>
    <r>
      <rPr>
        <rFont val="Arial"/>
        <color rgb="FF000000"/>
        <sz val="10.0"/>
      </rPr>
      <t>+</t>
    </r>
    <r>
      <rPr>
        <rFont val="MingLiU"/>
        <color rgb="FF000000"/>
        <sz val="10.0"/>
      </rPr>
      <t>消耗籤數目</t>
    </r>
    <r>
      <rPr>
        <rFont val="Arial"/>
        <color rgb="FF000000"/>
        <sz val="10.0"/>
      </rPr>
      <t xml:space="preserve"> 
</t>
    </r>
    <r>
      <rPr>
        <rFont val="MingLiU"/>
        <color rgb="FF000000"/>
        <sz val="10.0"/>
      </rPr>
      <t>沒被發覺的情況下可以以偷襲回合發起戰鬥。</t>
    </r>
    <r>
      <rPr>
        <rFont val="Arial"/>
        <color rgb="FF000000"/>
        <sz val="10.0"/>
      </rPr>
      <t xml:space="preserve"> 
</t>
    </r>
    <r>
      <rPr>
        <rFont val="MingLiU"/>
        <color rgb="FF000000"/>
        <sz val="10.0"/>
      </rPr>
      <t>對方等級每高你</t>
    </r>
    <r>
      <rPr>
        <rFont val="Arial"/>
        <color rgb="FF000000"/>
        <sz val="10.0"/>
      </rPr>
      <t>1</t>
    </r>
    <r>
      <rPr>
        <rFont val="MingLiU"/>
        <color rgb="FF000000"/>
        <sz val="10.0"/>
      </rPr>
      <t>個等級就增加</t>
    </r>
    <r>
      <rPr>
        <rFont val="Arial"/>
        <color rgb="FF000000"/>
        <sz val="10.0"/>
      </rPr>
      <t>50cm</t>
    </r>
    <r>
      <rPr>
        <rFont val="MingLiU"/>
        <color rgb="FF000000"/>
        <sz val="10.0"/>
      </rPr>
      <t>的看破射程</t>
    </r>
    <r>
      <rPr>
        <rFont val="Arial"/>
        <color rgb="FF000000"/>
        <sz val="10.0"/>
      </rPr>
      <t>(</t>
    </r>
    <r>
      <rPr>
        <rFont val="MingLiU"/>
        <color rgb="FF000000"/>
        <sz val="10.0"/>
      </rPr>
      <t>英靈以</t>
    </r>
    <r>
      <rPr>
        <rFont val="Arial"/>
        <color rgb="FF000000"/>
        <sz val="10.0"/>
      </rPr>
      <t>10</t>
    </r>
    <r>
      <rPr>
        <rFont val="MingLiU"/>
        <color rgb="FF000000"/>
        <sz val="10.0"/>
      </rPr>
      <t>級處理</t>
    </r>
    <r>
      <rPr>
        <rFont val="Arial"/>
        <color rgb="FF000000"/>
        <sz val="10.0"/>
      </rPr>
      <t>)</t>
    </r>
    <r>
      <rPr>
        <rFont val="MingLiU"/>
        <color rgb="FF000000"/>
        <sz val="10.0"/>
      </rPr>
      <t>。</t>
    </r>
    <r>
      <rPr>
        <rFont val="Arial"/>
        <color rgb="FF000000"/>
        <sz val="10.0"/>
      </rPr>
      <t xml:space="preserve"> 
</t>
    </r>
    <r>
      <rPr>
        <rFont val="MingLiU"/>
        <color rgb="FF000000"/>
        <sz val="10.0"/>
      </rPr>
      <t>●歸虛：全區域捕捉，所有使魔、被使役物、召喚物、從者為對象。</t>
    </r>
    <r>
      <rPr>
        <rFont val="Arial"/>
        <color rgb="FF000000"/>
        <sz val="10.0"/>
      </rPr>
      <t xml:space="preserve"> 
</t>
    </r>
    <r>
      <rPr>
        <rFont val="MingLiU"/>
        <color rgb="FF000000"/>
        <sz val="10.0"/>
      </rPr>
      <t>所有對象受到風水士級別等級</t>
    </r>
    <r>
      <rPr>
        <rFont val="Arial"/>
        <color rgb="FF000000"/>
        <sz val="10.0"/>
      </rPr>
      <t>*10</t>
    </r>
    <r>
      <rPr>
        <rFont val="MingLiU"/>
        <color rgb="FF000000"/>
        <sz val="10.0"/>
      </rPr>
      <t>的最大生命傷害。</t>
    </r>
  </si>
  <si>
    <t>真誥敘錄</t>
  </si>
  <si>
    <r>
      <rPr>
        <rFont val="MingLiU"/>
        <color rgb="FF000000"/>
        <sz val="10.0"/>
      </rPr>
      <t>行動點數</t>
    </r>
    <r>
      <rPr>
        <rFont val="Arial"/>
        <color rgb="FF000000"/>
        <sz val="10.0"/>
      </rPr>
      <t xml:space="preserve">20 </t>
    </r>
  </si>
  <si>
    <t xml:space="preserve">「揮斥八極」取得、風水士等級4以上 </t>
  </si>
  <si>
    <r>
      <rPr>
        <rFont val="MingLiU"/>
        <color rgb="FF000000"/>
        <sz val="10.0"/>
      </rPr>
      <t>和揮斥八極組合使用。</t>
    </r>
    <r>
      <rPr>
        <rFont val="Arial"/>
        <color rgb="FF000000"/>
        <sz val="10.0"/>
      </rPr>
      <t xml:space="preserve"> 
</t>
    </r>
    <r>
      <rPr>
        <rFont val="MingLiU"/>
        <color rgb="FF000000"/>
        <sz val="10.0"/>
      </rPr>
      <t>該回攻擊射程改為指定一個喜歡的區域攻擊該區域所有敵方角色。</t>
    </r>
    <r>
      <rPr>
        <rFont val="Arial"/>
        <color rgb="FF000000"/>
        <sz val="10.0"/>
      </rPr>
      <t xml:space="preserve"> 
</t>
    </r>
    <r>
      <rPr>
        <rFont val="MingLiU"/>
        <color rgb="FF000000"/>
        <sz val="10.0"/>
      </rPr>
      <t>持有八個雁風時，改為全區域覆蓋，攻擊所有敵方角色。</t>
    </r>
    <r>
      <rPr>
        <rFont val="Arial"/>
        <color rgb="FF000000"/>
        <sz val="10.0"/>
      </rPr>
      <t xml:space="preserve"> 
</t>
    </r>
    <r>
      <rPr>
        <rFont val="MingLiU"/>
        <color rgb="FF000000"/>
        <sz val="10.0"/>
      </rPr>
      <t>消耗八個雁風時，該回攻擊傷害擲骰全部視為</t>
    </r>
    <r>
      <rPr>
        <rFont val="Arial"/>
        <color rgb="FF000000"/>
        <sz val="10.0"/>
      </rPr>
      <t>6</t>
    </r>
    <r>
      <rPr>
        <rFont val="MingLiU"/>
        <color rgb="FF000000"/>
        <sz val="10.0"/>
      </rPr>
      <t>點處理。</t>
    </r>
    <r>
      <rPr>
        <rFont val="Arial"/>
        <color rgb="FF000000"/>
        <sz val="10.0"/>
      </rPr>
      <t xml:space="preserve"> </t>
    </r>
  </si>
  <si>
    <t>苗萊桃生</t>
  </si>
  <si>
    <t xml:space="preserve">代價傷害15+籤 </t>
  </si>
  <si>
    <t xml:space="preserve">「巫山桃生」取得 </t>
  </si>
  <si>
    <r>
      <rPr>
        <rFont val="MingLiU"/>
        <color rgb="FF000000"/>
        <sz val="10.0"/>
      </rPr>
      <t>指定因為巫山桃生得到不良狀態《毒》的角色為對象。</t>
    </r>
    <r>
      <rPr>
        <rFont val="Arial"/>
        <color rgb="FF000000"/>
        <sz val="10.0"/>
      </rPr>
      <t xml:space="preserve"> 
</t>
    </r>
    <r>
      <rPr>
        <rFont val="MingLiU"/>
        <color rgb="FF000000"/>
        <sz val="10.0"/>
      </rPr>
      <t>對象不能宣言解除《毒》，並且立即受到</t>
    </r>
    <r>
      <rPr>
        <rFont val="Arial"/>
        <color rgb="FF000000"/>
        <sz val="10.0"/>
      </rPr>
      <t>10%</t>
    </r>
    <r>
      <rPr>
        <rFont val="MingLiU"/>
        <color rgb="FF000000"/>
        <sz val="10.0"/>
      </rPr>
      <t>最大</t>
    </r>
    <r>
      <rPr>
        <rFont val="Arial"/>
        <color rgb="FF000000"/>
        <sz val="10.0"/>
      </rPr>
      <t>HP</t>
    </r>
    <r>
      <rPr>
        <rFont val="MingLiU"/>
        <color rgb="FF000000"/>
        <sz val="10.0"/>
      </rPr>
      <t>的傷害。</t>
    </r>
    <r>
      <rPr>
        <rFont val="Arial"/>
        <color rgb="FF000000"/>
        <sz val="10.0"/>
      </rPr>
      <t xml:space="preserve"> </t>
    </r>
  </si>
  <si>
    <t>黑簡朱文</t>
  </si>
  <si>
    <t xml:space="preserve">「苗萊桃生」取得，風水士等級5以上 </t>
  </si>
  <si>
    <r>
      <rPr>
        <rFont val="MingLiU"/>
        <color rgb="FF000000"/>
        <sz val="10.0"/>
      </rPr>
      <t>指定因為巫山桃生得到不良狀態《毒》的一名角色。</t>
    </r>
    <r>
      <rPr>
        <rFont val="Arial"/>
        <color rgb="FF000000"/>
        <sz val="10.0"/>
      </rPr>
      <t xml:space="preserve"> 
</t>
    </r>
    <r>
      <rPr>
        <rFont val="MingLiU"/>
        <color rgb="FF000000"/>
        <sz val="10.0"/>
      </rPr>
      <t>對象擲《毒》發作的傷害擲骰時，進行兩回擲骰取其高者。</t>
    </r>
    <r>
      <rPr>
        <rFont val="Arial"/>
        <color rgb="FF000000"/>
        <sz val="10.0"/>
      </rPr>
      <t xml:space="preserve"> 
</t>
    </r>
    <r>
      <rPr>
        <rFont val="MingLiU"/>
        <color rgb="FF000000"/>
        <sz val="10.0"/>
      </rPr>
      <t>對象擲《毒》發作的解除檢定時，進行兩回擲骰取其低者。</t>
    </r>
    <r>
      <rPr>
        <rFont val="Arial"/>
        <color rgb="FF000000"/>
        <sz val="10.0"/>
      </rPr>
      <t xml:space="preserve"> 
</t>
    </r>
    <r>
      <rPr>
        <rFont val="MingLiU"/>
        <color rgb="FF000000"/>
        <sz val="10.0"/>
      </rPr>
      <t>效果持續到戰鬥結束。</t>
    </r>
    <r>
      <rPr>
        <rFont val="Arial"/>
        <color rgb="FF000000"/>
        <sz val="10.0"/>
      </rPr>
      <t xml:space="preserve"> </t>
    </r>
  </si>
  <si>
    <t>五方封龍陣</t>
  </si>
  <si>
    <t xml:space="preserve">代價傷害60-[存在動物靈就-20、存在自然之靈就-20] </t>
  </si>
  <si>
    <t xml:space="preserve">「四十九道陣式」、「七十七路陣式」取得 </t>
  </si>
  <si>
    <r>
      <rPr>
        <rFont val="MingLiU"/>
        <color rgb="FF000000"/>
        <sz val="10.0"/>
      </rPr>
      <t>以指定區域內所有敵方角色為對象，回合結束前得到以下效果：</t>
    </r>
    <r>
      <rPr>
        <rFont val="Arial"/>
        <color rgb="FF000000"/>
        <sz val="10.0"/>
      </rPr>
      <t xml:space="preserve"> 
</t>
    </r>
    <r>
      <rPr>
        <rFont val="MingLiU"/>
        <color rgb="FF000000"/>
        <sz val="10.0"/>
      </rPr>
      <t>●行動、命中、迴避的達成值減去使用者本回合的行動點數</t>
    </r>
    <r>
      <rPr>
        <rFont val="Arial"/>
        <color rgb="FF000000"/>
        <sz val="10.0"/>
      </rPr>
      <t xml:space="preserve"> 
</t>
    </r>
    <r>
      <rPr>
        <rFont val="MingLiU"/>
        <color rgb="FF000000"/>
        <sz val="10.0"/>
      </rPr>
      <t>●無法使用防禦特技，受到傷害直接扣除生命力上限及等同的生命值</t>
    </r>
    <r>
      <rPr>
        <rFont val="Arial"/>
        <color rgb="FF000000"/>
        <sz val="10.0"/>
      </rPr>
      <t xml:space="preserve"> 
</t>
    </r>
    <r>
      <rPr>
        <rFont val="MingLiU"/>
        <color rgb="FF000000"/>
        <sz val="10.0"/>
      </rPr>
      <t>●在風水士被擊倒前不能逃走</t>
    </r>
    <r>
      <rPr>
        <rFont val="Arial"/>
        <color rgb="FF000000"/>
        <sz val="10.0"/>
      </rPr>
      <t xml:space="preserve"> 
</t>
    </r>
    <r>
      <rPr>
        <rFont val="MingLiU"/>
        <color rgb="FF000000"/>
        <sz val="10.0"/>
      </rPr>
      <t>發動後使用者行動點數直接歸</t>
    </r>
    <r>
      <rPr>
        <rFont val="Arial"/>
        <color rgb="FF000000"/>
        <sz val="10.0"/>
      </rPr>
      <t>0</t>
    </r>
    <r>
      <rPr>
        <rFont val="MingLiU"/>
        <color rgb="FF000000"/>
        <sz val="10.0"/>
      </rPr>
      <t>。</t>
    </r>
    <r>
      <rPr>
        <rFont val="Arial"/>
        <color rgb="FF000000"/>
        <sz val="10.0"/>
      </rPr>
      <t xml:space="preserve"> 
</t>
    </r>
    <r>
      <rPr>
        <rFont val="MingLiU"/>
        <color rgb="FF000000"/>
        <sz val="10.0"/>
      </rPr>
      <t>一場戰鬥最多使用</t>
    </r>
    <r>
      <rPr>
        <rFont val="Arial"/>
        <color rgb="FF000000"/>
        <sz val="10.0"/>
      </rPr>
      <t>[</t>
    </r>
    <r>
      <rPr>
        <rFont val="MingLiU"/>
        <color rgb="FF000000"/>
        <sz val="10.0"/>
      </rPr>
      <t>風水士級別等級</t>
    </r>
    <r>
      <rPr>
        <rFont val="Arial"/>
        <color rgb="FF000000"/>
        <sz val="10.0"/>
      </rPr>
      <t>]</t>
    </r>
    <r>
      <rPr>
        <rFont val="MingLiU"/>
        <color rgb="FF000000"/>
        <sz val="10.0"/>
      </rPr>
      <t>次。</t>
    </r>
  </si>
</sst>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font>
    <font>
      <sz val="11.0"/>
      <color rgb="FFFFFFFF"/>
      <name val="PMingLiu"/>
    </font>
    <font/>
    <font>
      <sz val="10.0"/>
      <name val="Arial"/>
    </font>
    <font>
      <sz val="9.0"/>
      <color rgb="FFFFFFFF"/>
      <name val="PMingLiu"/>
    </font>
    <font>
      <sz val="9.0"/>
      <name val="Arial"/>
    </font>
    <font>
      <sz val="9.0"/>
      <name val="PMingLiu"/>
    </font>
    <font>
      <sz val="10.0"/>
      <color rgb="FFFFFFFF"/>
      <name val="Arial"/>
    </font>
    <font>
      <sz val="10.0"/>
      <color rgb="FFFFFFFF"/>
      <name val="MingLiU"/>
    </font>
    <font>
      <sz val="10.0"/>
      <color rgb="FF000000"/>
      <name val="MingLiU"/>
    </font>
    <font>
      <name val="Arial"/>
    </font>
    <font>
      <name val="MingLiU"/>
    </font>
    <font>
      <sz val="10.0"/>
      <color rgb="FFFFFFFF"/>
      <name val="PMingLiu"/>
    </font>
    <font>
      <sz val="11.0"/>
      <name val="PMingLiu"/>
    </font>
    <font>
      <sz val="11.0"/>
      <name val="Arial"/>
    </font>
    <font>
      <color rgb="FF000000"/>
      <name val="&quot;MS Gothic&quot;"/>
    </font>
    <font>
      <name val="&quot;新細明體&quot;"/>
    </font>
    <font>
      <b/>
      <sz val="12.0"/>
      <color rgb="FF000000"/>
      <name val="Microsoft jhenhei"/>
    </font>
    <font>
      <color rgb="FF000000"/>
      <name val="Arial"/>
    </font>
    <font>
      <b/>
      <sz val="10.0"/>
      <color rgb="FF000000"/>
      <name val="MingLiU"/>
    </font>
    <font>
      <sz val="9.0"/>
      <color rgb="FF000000"/>
      <name val="微軟正黑體"/>
    </font>
    <font>
      <color rgb="FF000000"/>
      <name val="MingLiU"/>
    </font>
    <font>
      <sz val="10.0"/>
      <color rgb="FF000000"/>
      <name val="微軟正黑體"/>
    </font>
    <font>
      <color rgb="FF000000"/>
      <name val="Roboto"/>
    </font>
    <font>
      <sz val="9.0"/>
      <color rgb="FF000000"/>
      <name val="Arial"/>
    </font>
    <font>
      <sz val="9.0"/>
      <color rgb="FF000000"/>
      <name val="Microsoft jhenhei"/>
    </font>
    <font>
      <sz val="12.0"/>
      <color rgb="FF000000"/>
      <name val="PMingLiu"/>
    </font>
    <font>
      <sz val="12.0"/>
      <name val="PMingLiu"/>
    </font>
  </fonts>
  <fills count="6">
    <fill>
      <patternFill patternType="none"/>
    </fill>
    <fill>
      <patternFill patternType="lightGray"/>
    </fill>
    <fill>
      <patternFill patternType="solid">
        <fgColor rgb="FF000000"/>
        <bgColor rgb="FF000000"/>
      </patternFill>
    </fill>
    <fill>
      <patternFill patternType="solid">
        <fgColor rgb="FF7F7F7F"/>
        <bgColor rgb="FF7F7F7F"/>
      </patternFill>
    </fill>
    <fill>
      <patternFill patternType="solid">
        <fgColor rgb="FFFFFFFF"/>
        <bgColor rgb="FFFFFFFF"/>
      </patternFill>
    </fill>
    <fill>
      <patternFill patternType="solid">
        <fgColor rgb="FFFFFF00"/>
        <bgColor rgb="FFFFFF00"/>
      </patternFill>
    </fill>
  </fills>
  <borders count="41">
    <border/>
    <border>
      <left style="thin">
        <color rgb="FF000000"/>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medium">
        <color rgb="FFFF0000"/>
      </left>
      <right style="medium">
        <color rgb="FFFF0000"/>
      </right>
      <top style="medium">
        <color rgb="FFFF0000"/>
      </top>
      <bottom style="thin">
        <color rgb="FF000000"/>
      </bottom>
    </border>
    <border>
      <right style="thin">
        <color rgb="FF000000"/>
      </right>
      <top style="thin">
        <color rgb="FF000000"/>
      </top>
    </border>
    <border>
      <left style="thin">
        <color rgb="FF000000"/>
      </left>
      <top/>
      <bottom style="thin">
        <color rgb="FF000000"/>
      </bottom>
    </border>
    <border>
      <right style="thin">
        <color rgb="FF000000"/>
      </right>
      <top/>
      <bottom style="thin">
        <color rgb="FF000000"/>
      </bottom>
    </border>
    <border>
      <left/>
      <right style="thin">
        <color rgb="FF000000"/>
      </right>
      <top style="thin">
        <color rgb="FF000000"/>
      </top>
      <bottom style="thin">
        <color rgb="FF000000"/>
      </bottom>
    </border>
    <border>
      <left style="medium">
        <color rgb="FFFF0000"/>
      </left>
      <right style="medium">
        <color rgb="FFFF0000"/>
      </right>
      <top style="thin">
        <color rgb="FF000000"/>
      </top>
      <bottom style="thin">
        <color rgb="FF000000"/>
      </bottom>
    </border>
    <border>
      <left/>
      <right style="thin">
        <color rgb="FF000000"/>
      </right>
      <top style="thin">
        <color rgb="FF000000"/>
      </top>
      <bottom/>
    </border>
    <border>
      <left style="thin">
        <color rgb="FF000000"/>
      </left>
      <top style="thin">
        <color rgb="FF000000"/>
      </top>
    </border>
    <border>
      <top style="thin">
        <color rgb="FF000000"/>
      </top>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medium">
        <color rgb="FFFF0000"/>
      </left>
      <right style="medium">
        <color rgb="FFFF0000"/>
      </right>
      <top style="thin">
        <color rgb="FF000000"/>
      </top>
    </border>
    <border>
      <left style="thin">
        <color rgb="FF000000"/>
      </left>
      <right/>
      <top style="thin">
        <color rgb="FF000000"/>
      </top>
      <bottom style="thin">
        <color rgb="FF000000"/>
      </bottom>
    </border>
    <border>
      <left style="medium">
        <color rgb="FFFF0000"/>
      </left>
      <right style="medium">
        <color rgb="FFFF0000"/>
      </right>
      <top style="medium">
        <color rgb="FFFF0000"/>
      </top>
      <bottom style="medium">
        <color rgb="FFFF0000"/>
      </bottom>
    </border>
    <border>
      <left/>
      <right/>
      <top/>
      <bottom/>
    </border>
    <border>
      <left style="thin">
        <color rgb="FF000000"/>
      </left>
      <right/>
      <top style="thin">
        <color rgb="FF000000"/>
      </top>
      <bottom/>
    </border>
    <border>
      <left/>
      <right style="thin">
        <color rgb="FF000000"/>
      </right>
      <top/>
      <bottom style="thin">
        <color rgb="FF000000"/>
      </bottom>
    </border>
    <border>
      <left style="medium">
        <color rgb="FFFF0000"/>
      </left>
      <right style="medium">
        <color rgb="FFFF0000"/>
      </right>
      <top style="thin">
        <color rgb="FF000000"/>
      </top>
      <bottom style="medium">
        <color rgb="FFFF0000"/>
      </bottom>
    </border>
    <border>
      <left/>
      <top/>
      <bottom/>
    </border>
    <border>
      <right style="thin">
        <color rgb="FF000000"/>
      </right>
      <top/>
      <bottom/>
    </border>
    <border>
      <left style="thin">
        <color rgb="FF000000"/>
      </left>
      <right/>
      <top/>
      <bottom style="thin">
        <color rgb="FF000000"/>
      </bottom>
    </border>
    <border>
      <left/>
      <right/>
      <top style="thin">
        <color rgb="FF000000"/>
      </top>
      <bottom style="thin">
        <color rgb="FF000000"/>
      </bottom>
    </border>
    <border>
      <left style="thin">
        <color rgb="FF000000"/>
      </left>
      <right style="thin">
        <color rgb="FF000000"/>
      </right>
    </border>
    <border>
      <left/>
      <right/>
      <top style="thin">
        <color rgb="FF000000"/>
      </top>
      <bottom/>
    </border>
    <border>
      <right style="thin">
        <color rgb="FF000000"/>
      </right>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right/>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0" fillId="0" fontId="3" numFmtId="0" xfId="0" applyAlignment="1" applyFont="1">
      <alignment shrinkToFit="0" wrapText="1"/>
    </xf>
    <xf borderId="4" fillId="2" fontId="4" numFmtId="0" xfId="0" applyAlignment="1" applyBorder="1" applyFont="1">
      <alignment horizontal="center" shrinkToFit="0" wrapText="1"/>
    </xf>
    <xf borderId="5" fillId="0" fontId="5" numFmtId="0" xfId="0" applyAlignment="1" applyBorder="1" applyFont="1">
      <alignment horizontal="center" readingOrder="0" shrinkToFit="0" vertical="bottom" wrapText="1"/>
    </xf>
    <xf borderId="6" fillId="0" fontId="2" numFmtId="0" xfId="0" applyBorder="1" applyFont="1"/>
    <xf borderId="5" fillId="2" fontId="1" numFmtId="0" xfId="0" applyAlignment="1" applyBorder="1" applyFont="1">
      <alignment horizontal="center" shrinkToFit="0" wrapText="1"/>
    </xf>
    <xf borderId="7" fillId="0" fontId="2" numFmtId="0" xfId="0" applyBorder="1" applyFont="1"/>
    <xf borderId="5" fillId="0" fontId="5" numFmtId="0" xfId="0" applyAlignment="1" applyBorder="1" applyFont="1">
      <alignment horizontal="center" readingOrder="0" shrinkToFit="0" wrapText="1"/>
    </xf>
    <xf borderId="8" fillId="3" fontId="4" numFmtId="0" xfId="0" applyAlignment="1" applyBorder="1" applyFill="1" applyFont="1">
      <alignment shrinkToFit="0" vertical="center" wrapText="1"/>
    </xf>
    <xf borderId="9" fillId="3" fontId="4" numFmtId="0" xfId="0" applyAlignment="1" applyBorder="1" applyFont="1">
      <alignment shrinkToFit="0" vertical="center" wrapText="1"/>
    </xf>
    <xf borderId="5" fillId="0" fontId="5" numFmtId="0" xfId="0" applyAlignment="1" applyBorder="1" applyFont="1">
      <alignment horizontal="center" readingOrder="0" shrinkToFit="0" vertical="center" wrapText="1"/>
    </xf>
    <xf borderId="4" fillId="3" fontId="4" numFmtId="0" xfId="0" applyAlignment="1" applyBorder="1" applyFont="1">
      <alignment shrinkToFit="0" vertical="center" wrapText="1"/>
    </xf>
    <xf borderId="4" fillId="0" fontId="6" numFmtId="0" xfId="0" applyAlignment="1" applyBorder="1" applyFont="1">
      <alignment shrinkToFit="0" vertical="center" wrapText="1"/>
    </xf>
    <xf borderId="5" fillId="0" fontId="6" numFmtId="0" xfId="0" applyAlignment="1" applyBorder="1" applyFont="1">
      <alignment shrinkToFit="0" vertical="center" wrapText="1"/>
    </xf>
    <xf borderId="10" fillId="0" fontId="6" numFmtId="0" xfId="0" applyAlignment="1" applyBorder="1" applyFont="1">
      <alignment readingOrder="0" shrinkToFit="0" vertical="center" wrapText="1"/>
    </xf>
    <xf borderId="7" fillId="0" fontId="6" numFmtId="0" xfId="0" applyAlignment="1" applyBorder="1" applyFont="1">
      <alignment shrinkToFit="0" vertical="center" wrapText="1"/>
    </xf>
    <xf borderId="0" fillId="0" fontId="3" numFmtId="0" xfId="0" applyAlignment="1" applyFont="1">
      <alignment readingOrder="0" shrinkToFit="0" wrapText="1"/>
    </xf>
    <xf borderId="11" fillId="0" fontId="6" numFmtId="0" xfId="0" applyAlignment="1" applyBorder="1" applyFont="1">
      <alignment readingOrder="0" shrinkToFit="0" vertical="center" wrapText="1"/>
    </xf>
    <xf borderId="5" fillId="0" fontId="3" numFmtId="0" xfId="0" applyAlignment="1" applyBorder="1" applyFont="1">
      <alignment horizontal="center" readingOrder="0" shrinkToFit="0" vertical="center" wrapText="1"/>
    </xf>
    <xf borderId="12" fillId="2" fontId="4" numFmtId="0" xfId="0" applyAlignment="1" applyBorder="1" applyFont="1">
      <alignment horizontal="center" shrinkToFit="0" vertical="center" wrapText="1"/>
    </xf>
    <xf borderId="13" fillId="0" fontId="2" numFmtId="0" xfId="0" applyBorder="1" applyFont="1"/>
    <xf borderId="5" fillId="0" fontId="6" numFmtId="0" xfId="0" applyAlignment="1" applyBorder="1" applyFont="1">
      <alignment horizontal="center" readingOrder="0" shrinkToFit="0" vertical="center" wrapText="1"/>
    </xf>
    <xf borderId="14" fillId="3" fontId="4" numFmtId="0" xfId="0" applyAlignment="1" applyBorder="1" applyFont="1">
      <alignment shrinkToFit="0" vertical="center" wrapText="1"/>
    </xf>
    <xf borderId="15" fillId="0" fontId="6" numFmtId="0" xfId="0" applyAlignment="1" applyBorder="1" applyFont="1">
      <alignment readingOrder="0" shrinkToFit="0" vertical="center" wrapText="1"/>
    </xf>
    <xf borderId="0" fillId="0" fontId="3" numFmtId="0" xfId="0" applyAlignment="1" applyFont="1">
      <alignment shrinkToFit="0" vertical="center" wrapText="1"/>
    </xf>
    <xf borderId="4" fillId="3" fontId="4" numFmtId="0" xfId="0" applyAlignment="1" applyBorder="1" applyFont="1">
      <alignment horizontal="center" shrinkToFit="0" vertical="center" wrapText="1"/>
    </xf>
    <xf borderId="16" fillId="3" fontId="4" numFmtId="0" xfId="0" applyAlignment="1" applyBorder="1" applyFont="1">
      <alignment horizontal="center" shrinkToFit="0" vertical="center" wrapText="1"/>
    </xf>
    <xf borderId="14" fillId="3" fontId="4" numFmtId="0" xfId="0" applyAlignment="1" applyBorder="1" applyFont="1">
      <alignment horizontal="center" shrinkToFit="0" vertical="center" wrapText="1"/>
    </xf>
    <xf borderId="17" fillId="0" fontId="3" numFmtId="0" xfId="0" applyAlignment="1" applyBorder="1" applyFont="1">
      <alignment horizontal="center" shrinkToFit="0" vertical="center" wrapText="1"/>
    </xf>
    <xf borderId="18" fillId="0" fontId="2" numFmtId="0" xfId="0" applyBorder="1" applyFont="1"/>
    <xf borderId="11" fillId="0" fontId="2" numFmtId="0" xfId="0" applyBorder="1" applyFont="1"/>
    <xf borderId="19" fillId="3" fontId="4" numFmtId="0" xfId="0" applyAlignment="1" applyBorder="1" applyFont="1">
      <alignment shrinkToFit="0" vertical="center" wrapText="1"/>
    </xf>
    <xf borderId="20" fillId="0" fontId="6" numFmtId="0" xfId="0" applyAlignment="1" applyBorder="1" applyFont="1">
      <alignment shrinkToFit="0" vertical="center" wrapText="1"/>
    </xf>
    <xf borderId="17" fillId="0" fontId="6" numFmtId="0" xfId="0" applyAlignment="1" applyBorder="1" applyFont="1">
      <alignment shrinkToFit="0" vertical="center" wrapText="1"/>
    </xf>
    <xf borderId="21" fillId="0" fontId="6" numFmtId="0" xfId="0" applyAlignment="1" applyBorder="1" applyFont="1">
      <alignment readingOrder="0" shrinkToFit="0" vertical="center" wrapText="1"/>
    </xf>
    <xf borderId="22" fillId="3" fontId="4" numFmtId="0" xfId="0" applyAlignment="1" applyBorder="1" applyFont="1">
      <alignment horizontal="center" shrinkToFit="0" vertical="center" wrapText="1"/>
    </xf>
    <xf borderId="23" fillId="0" fontId="6"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5" fillId="3" fontId="4" numFmtId="0" xfId="0" applyAlignment="1" applyBorder="1" applyFont="1">
      <alignment horizontal="center" shrinkToFit="0" vertical="center" wrapText="1"/>
    </xf>
    <xf borderId="6" fillId="0" fontId="3" numFmtId="0" xfId="0" applyAlignment="1" applyBorder="1" applyFont="1">
      <alignment shrinkToFit="0" vertical="center" wrapText="1"/>
    </xf>
    <xf borderId="24" fillId="2" fontId="4" numFmtId="0" xfId="0" applyAlignment="1" applyBorder="1" applyFont="1">
      <alignment shrinkToFit="0" vertical="center" wrapText="1"/>
    </xf>
    <xf borderId="24" fillId="2" fontId="7" numFmtId="0" xfId="0" applyAlignment="1" applyBorder="1" applyFont="1">
      <alignment shrinkToFit="0" vertical="center" wrapText="1"/>
    </xf>
    <xf borderId="0" fillId="0" fontId="5" numFmtId="0" xfId="0" applyAlignment="1" applyFont="1">
      <alignment readingOrder="0" shrinkToFit="0" vertical="center" wrapText="1"/>
    </xf>
    <xf borderId="25" fillId="3" fontId="4" numFmtId="0" xfId="0" applyAlignment="1" applyBorder="1" applyFont="1">
      <alignment horizontal="center" shrinkToFit="0" vertical="center" wrapText="1"/>
    </xf>
    <xf borderId="26" fillId="3" fontId="4" numFmtId="0" xfId="0" applyAlignment="1" applyBorder="1" applyFont="1">
      <alignment shrinkToFit="0" vertical="center" wrapText="1"/>
    </xf>
    <xf borderId="26" fillId="3" fontId="4" numFmtId="0" xfId="0" applyAlignment="1" applyBorder="1" applyFont="1">
      <alignment horizontal="center" shrinkToFit="0" vertical="center" wrapText="1"/>
    </xf>
    <xf borderId="27" fillId="0" fontId="6" numFmtId="0" xfId="0" applyAlignment="1" applyBorder="1" applyFont="1">
      <alignment readingOrder="0" shrinkToFit="0" vertical="center" wrapText="1"/>
    </xf>
    <xf borderId="5" fillId="0" fontId="5" numFmtId="0" xfId="0" applyAlignment="1" applyBorder="1" applyFont="1">
      <alignment horizontal="center" shrinkToFit="0" vertical="center" wrapText="1"/>
    </xf>
    <xf borderId="20" fillId="0" fontId="5" numFmtId="0" xfId="0" applyAlignment="1" applyBorder="1" applyFont="1">
      <alignment horizontal="center" shrinkToFit="0" vertical="center" wrapText="1"/>
    </xf>
    <xf borderId="28" fillId="2" fontId="4" numFmtId="0" xfId="0" applyAlignment="1" applyBorder="1" applyFont="1">
      <alignment shrinkToFit="0" vertical="center" wrapText="1"/>
    </xf>
    <xf borderId="29" fillId="0" fontId="2" numFmtId="0" xfId="0" applyBorder="1" applyFont="1"/>
    <xf borderId="30" fillId="3" fontId="4" numFmtId="0" xfId="0" applyAlignment="1" applyBorder="1" applyFont="1">
      <alignment shrinkToFit="0" vertical="center" wrapText="1"/>
    </xf>
    <xf borderId="23" fillId="0" fontId="6" numFmtId="0" xfId="0" applyAlignment="1" applyBorder="1" applyFont="1">
      <alignment readingOrder="0" shrinkToFit="0" vertical="center" wrapText="1"/>
    </xf>
    <xf borderId="31" fillId="3" fontId="4" numFmtId="0" xfId="0" applyAlignment="1" applyBorder="1" applyFont="1">
      <alignment shrinkToFit="0" vertical="center" wrapText="1"/>
    </xf>
    <xf borderId="11" fillId="0" fontId="6" numFmtId="0" xfId="0" applyAlignment="1" applyBorder="1" applyFont="1">
      <alignment shrinkToFit="0" vertical="center" wrapText="1"/>
    </xf>
    <xf borderId="5" fillId="0" fontId="6" numFmtId="0" xfId="0" applyAlignment="1" applyBorder="1" applyFont="1">
      <alignment horizontal="center" shrinkToFit="0" vertical="center" wrapText="1"/>
    </xf>
    <xf borderId="32" fillId="0" fontId="2" numFmtId="0" xfId="0" applyBorder="1" applyFont="1"/>
    <xf borderId="33" fillId="3" fontId="4" numFmtId="0" xfId="0" applyAlignment="1" applyBorder="1" applyFont="1">
      <alignment shrinkToFit="0" vertical="center" wrapText="1"/>
    </xf>
    <xf borderId="34" fillId="0" fontId="6" numFmtId="0" xfId="0" applyAlignment="1" applyBorder="1" applyFont="1">
      <alignment shrinkToFit="0" vertical="center" wrapText="1"/>
    </xf>
    <xf borderId="5" fillId="0" fontId="5" numFmtId="0" xfId="0" applyAlignment="1" applyBorder="1" applyFont="1">
      <alignment horizontal="left" shrinkToFit="0" vertical="center" wrapText="1"/>
    </xf>
    <xf borderId="4" fillId="3" fontId="8" numFmtId="0" xfId="0" applyAlignment="1" applyBorder="1" applyFont="1">
      <alignment horizontal="left" shrinkToFit="0" vertical="center" wrapText="1"/>
    </xf>
    <xf borderId="5" fillId="3" fontId="8" numFmtId="0" xfId="0" applyAlignment="1" applyBorder="1" applyFont="1">
      <alignment horizontal="left" shrinkToFit="0" vertical="center" wrapText="1"/>
    </xf>
    <xf borderId="5" fillId="0" fontId="9" numFmtId="0" xfId="0" applyAlignment="1" applyBorder="1" applyFont="1">
      <alignment horizontal="center" readingOrder="0" shrinkToFit="0" vertical="center" wrapText="1"/>
    </xf>
    <xf borderId="4" fillId="0" fontId="10" numFmtId="0" xfId="0" applyAlignment="1" applyBorder="1" applyFont="1">
      <alignment horizontal="left" shrinkToFit="0" vertical="center" wrapText="1"/>
    </xf>
    <xf borderId="7" fillId="0" fontId="10" numFmtId="0" xfId="0" applyAlignment="1" applyBorder="1" applyFont="1">
      <alignment horizontal="left" shrinkToFit="0" vertical="center" wrapText="1"/>
    </xf>
    <xf borderId="6" fillId="0" fontId="11" numFmtId="0" xfId="0" applyAlignment="1" applyBorder="1" applyFont="1">
      <alignment horizontal="left" shrinkToFit="0" vertical="center" wrapText="1"/>
    </xf>
    <xf borderId="0" fillId="0" fontId="3" numFmtId="0" xfId="0" applyAlignment="1" applyFont="1">
      <alignment readingOrder="0" shrinkToFit="0" vertical="center" wrapText="1"/>
    </xf>
    <xf borderId="4" fillId="0" fontId="10" numFmtId="0" xfId="0" applyAlignment="1" applyBorder="1" applyFont="1">
      <alignment shrinkToFit="0" wrapText="1"/>
    </xf>
    <xf borderId="7" fillId="0" fontId="10" numFmtId="0" xfId="0" applyAlignment="1" applyBorder="1" applyFont="1">
      <alignment shrinkToFit="0" wrapText="1"/>
    </xf>
    <xf borderId="7" fillId="0" fontId="10" numFmtId="0" xfId="0" applyAlignment="1" applyBorder="1" applyFont="1">
      <alignment horizontal="right" shrinkToFit="0" wrapText="1"/>
    </xf>
    <xf borderId="6" fillId="0" fontId="11" numFmtId="0" xfId="0" applyAlignment="1" applyBorder="1" applyFont="1">
      <alignment shrinkToFit="0" wrapText="1"/>
    </xf>
    <xf borderId="20" fillId="2" fontId="12" numFmtId="0" xfId="0" applyAlignment="1" applyBorder="1" applyFont="1">
      <alignment horizontal="center" shrinkToFit="0" vertical="center" wrapText="1"/>
    </xf>
    <xf borderId="5" fillId="0" fontId="13" numFmtId="0" xfId="0" applyAlignment="1" applyBorder="1" applyFont="1">
      <alignment horizontal="left" readingOrder="0" shrinkToFit="0" wrapText="1"/>
    </xf>
    <xf borderId="5" fillId="0" fontId="13" numFmtId="0" xfId="0" applyAlignment="1" applyBorder="1" applyFont="1">
      <alignment horizontal="center" readingOrder="0" shrinkToFit="0" wrapText="1"/>
    </xf>
    <xf borderId="5" fillId="0" fontId="3" numFmtId="0" xfId="0" applyAlignment="1" applyBorder="1" applyFont="1">
      <alignment horizontal="center" readingOrder="0" shrinkToFit="0" wrapText="1"/>
    </xf>
    <xf borderId="5" fillId="0" fontId="13" numFmtId="0" xfId="0" applyAlignment="1" applyBorder="1" applyFont="1">
      <alignment horizontal="center" shrinkToFit="0" wrapText="1"/>
    </xf>
    <xf borderId="35" fillId="0" fontId="2" numFmtId="0" xfId="0" applyBorder="1" applyFont="1"/>
    <xf borderId="17" fillId="0" fontId="13" numFmtId="0" xfId="0" applyAlignment="1" applyBorder="1" applyFont="1">
      <alignment horizontal="center" shrinkToFit="0" wrapText="1"/>
    </xf>
    <xf borderId="5" fillId="2" fontId="8" numFmtId="0" xfId="0" applyAlignment="1" applyBorder="1" applyFont="1">
      <alignment horizontal="center" shrinkToFit="0" vertical="center" wrapText="1"/>
    </xf>
    <xf borderId="5" fillId="3" fontId="8" numFmtId="0" xfId="0" applyAlignment="1" applyBorder="1" applyFont="1">
      <alignment horizontal="center" shrinkToFit="0" vertical="center" wrapText="1"/>
    </xf>
    <xf borderId="4" fillId="3" fontId="8" numFmtId="0" xfId="0" applyAlignment="1" applyBorder="1" applyFont="1">
      <alignment horizontal="center" shrinkToFit="0" vertical="center" wrapText="1"/>
    </xf>
    <xf borderId="17" fillId="0" fontId="14" numFmtId="0" xfId="0" applyAlignment="1" applyBorder="1" applyFont="1">
      <alignment horizontal="left" readingOrder="0" shrinkToFit="0" vertical="top" wrapText="1"/>
    </xf>
    <xf borderId="5" fillId="0" fontId="9" numFmtId="0" xfId="0" applyAlignment="1" applyBorder="1" applyFont="1">
      <alignment horizontal="center" readingOrder="0" shrinkToFit="0" wrapText="1"/>
    </xf>
    <xf borderId="35" fillId="0" fontId="9" numFmtId="0" xfId="0" applyAlignment="1" applyBorder="1" applyFont="1">
      <alignment horizontal="center" shrinkToFit="0" vertical="center" wrapText="1"/>
    </xf>
    <xf borderId="5" fillId="0" fontId="9" numFmtId="0" xfId="0" applyAlignment="1" applyBorder="1" applyFont="1">
      <alignment horizontal="center" shrinkToFit="0" wrapText="1"/>
    </xf>
    <xf borderId="36" fillId="0" fontId="2" numFmtId="0" xfId="0" applyBorder="1" applyFont="1"/>
    <xf borderId="34" fillId="0" fontId="2" numFmtId="0" xfId="0" applyBorder="1" applyFont="1"/>
    <xf borderId="36" fillId="0" fontId="9" numFmtId="0" xfId="0" applyAlignment="1" applyBorder="1" applyFont="1">
      <alignment horizontal="center" shrinkToFit="0" wrapText="1"/>
    </xf>
    <xf borderId="37" fillId="0" fontId="2" numFmtId="0" xfId="0" applyBorder="1" applyFont="1"/>
    <xf borderId="38" fillId="0" fontId="2" numFmtId="0" xfId="0" applyBorder="1" applyFont="1"/>
    <xf borderId="39" fillId="0" fontId="2" numFmtId="0" xfId="0" applyBorder="1" applyFont="1"/>
    <xf borderId="0" fillId="0" fontId="9" numFmtId="0" xfId="0" applyAlignment="1" applyFont="1">
      <alignment readingOrder="0" shrinkToFit="0" wrapText="0"/>
    </xf>
    <xf borderId="0" fillId="0" fontId="9" numFmtId="0" xfId="0" applyAlignment="1" applyFont="1">
      <alignment shrinkToFit="0" wrapText="0"/>
    </xf>
    <xf borderId="0" fillId="0" fontId="0" numFmtId="0" xfId="0" applyAlignment="1" applyFont="1">
      <alignment shrinkToFit="0" wrapText="0"/>
    </xf>
    <xf borderId="0" fillId="0" fontId="2" numFmtId="0" xfId="0" applyAlignment="1" applyFont="1">
      <alignment readingOrder="0"/>
    </xf>
    <xf borderId="0" fillId="0" fontId="6" numFmtId="0" xfId="0" applyAlignment="1" applyFont="1">
      <alignment horizontal="center" shrinkToFit="0" vertical="center" wrapText="0"/>
    </xf>
    <xf borderId="0" fillId="0" fontId="0" numFmtId="0" xfId="0" applyAlignment="1" applyFont="1">
      <alignment shrinkToFit="0" wrapText="0"/>
    </xf>
    <xf borderId="0" fillId="0" fontId="9" numFmtId="0" xfId="0" applyAlignment="1" applyFont="1">
      <alignment shrinkToFit="0" wrapText="1"/>
    </xf>
    <xf borderId="0" fillId="0" fontId="15" numFmtId="0" xfId="0" applyAlignment="1" applyFont="1">
      <alignment readingOrder="0"/>
    </xf>
    <xf borderId="0" fillId="0" fontId="16" numFmtId="0" xfId="0" applyAlignment="1" applyFont="1">
      <alignment readingOrder="0"/>
    </xf>
    <xf borderId="0" fillId="0" fontId="0" numFmtId="0" xfId="0" applyAlignment="1" applyFont="1">
      <alignment readingOrder="0" shrinkToFit="0" wrapText="0"/>
    </xf>
    <xf borderId="0" fillId="0" fontId="0" numFmtId="0" xfId="0" applyAlignment="1" applyFont="1">
      <alignment readingOrder="0" shrinkToFit="0" wrapText="0"/>
    </xf>
    <xf borderId="0" fillId="0" fontId="17" numFmtId="0" xfId="0" applyAlignment="1" applyFont="1">
      <alignment shrinkToFit="0" wrapText="1"/>
    </xf>
    <xf borderId="0" fillId="0" fontId="3" numFmtId="0" xfId="0" applyAlignment="1" applyFont="1">
      <alignment shrinkToFit="0" wrapText="0"/>
    </xf>
    <xf borderId="0" fillId="0" fontId="18" numFmtId="0" xfId="0" applyAlignment="1" applyFont="1">
      <alignment horizontal="right" readingOrder="0" shrinkToFit="0" vertical="bottom" wrapText="0"/>
    </xf>
    <xf borderId="0" fillId="0" fontId="19" numFmtId="0" xfId="0" applyAlignment="1" applyFont="1">
      <alignment shrinkToFit="0" wrapText="0"/>
    </xf>
    <xf borderId="0" fillId="0" fontId="9" numFmtId="0" xfId="0" applyAlignment="1" applyFont="1">
      <alignment readingOrder="0" shrinkToFit="0" vertical="top" wrapText="0"/>
    </xf>
    <xf borderId="0" fillId="4" fontId="20" numFmtId="0" xfId="0" applyAlignment="1" applyFill="1" applyFont="1">
      <alignment readingOrder="0"/>
    </xf>
    <xf borderId="0" fillId="4" fontId="21" numFmtId="0" xfId="0" applyAlignment="1" applyFont="1">
      <alignment horizontal="left" readingOrder="0"/>
    </xf>
    <xf borderId="0" fillId="4" fontId="22" numFmtId="0" xfId="0" applyAlignment="1" applyFont="1">
      <alignment readingOrder="0"/>
    </xf>
    <xf borderId="24" fillId="5" fontId="0" numFmtId="0" xfId="0" applyAlignment="1" applyBorder="1" applyFill="1" applyFont="1">
      <alignment shrinkToFit="0" wrapText="0"/>
    </xf>
    <xf borderId="24" fillId="5" fontId="3" numFmtId="0" xfId="0" applyAlignment="1" applyBorder="1" applyFont="1">
      <alignment shrinkToFit="0" wrapText="0"/>
    </xf>
    <xf borderId="24" fillId="5" fontId="9" numFmtId="0" xfId="0" applyAlignment="1" applyBorder="1" applyFont="1">
      <alignment shrinkToFit="0" wrapText="0"/>
    </xf>
    <xf borderId="0" fillId="0" fontId="9" numFmtId="0" xfId="0" applyAlignment="1" applyFont="1">
      <alignment readingOrder="0" shrinkToFit="0" wrapText="1"/>
    </xf>
    <xf borderId="0" fillId="4" fontId="23" numFmtId="0" xfId="0" applyAlignment="1" applyFont="1">
      <alignment readingOrder="0"/>
    </xf>
    <xf borderId="24" fillId="5" fontId="0" numFmtId="0" xfId="0" applyAlignment="1" applyBorder="1" applyFont="1">
      <alignment readingOrder="0" shrinkToFit="0" wrapText="0"/>
    </xf>
    <xf borderId="0" fillId="0" fontId="21" numFmtId="0" xfId="0" applyAlignment="1" applyFont="1">
      <alignment vertical="bottom"/>
    </xf>
    <xf borderId="0" fillId="0" fontId="18" numFmtId="0" xfId="0" applyAlignment="1" applyFont="1">
      <alignment vertical="bottom"/>
    </xf>
    <xf borderId="0" fillId="0" fontId="18" numFmtId="0" xfId="0" applyAlignment="1" applyFont="1">
      <alignment horizontal="right" vertical="bottom"/>
    </xf>
    <xf borderId="40" fillId="0" fontId="21" numFmtId="0" xfId="0" applyAlignment="1" applyBorder="1" applyFont="1">
      <alignment shrinkToFit="0" vertical="bottom" wrapText="0"/>
    </xf>
    <xf borderId="0" fillId="4" fontId="24" numFmtId="0" xfId="0" applyAlignment="1" applyFont="1">
      <alignment vertical="bottom"/>
    </xf>
    <xf borderId="0" fillId="0" fontId="10" numFmtId="0" xfId="0" applyAlignment="1" applyFont="1">
      <alignment vertical="bottom"/>
    </xf>
    <xf borderId="0" fillId="0" fontId="21" numFmtId="0" xfId="0" applyAlignment="1" applyFont="1">
      <alignment shrinkToFit="0" vertical="bottom" wrapText="1"/>
    </xf>
    <xf borderId="0" fillId="0" fontId="11" numFmtId="0" xfId="0" applyAlignment="1" applyFont="1">
      <alignment readingOrder="0"/>
    </xf>
    <xf borderId="0" fillId="0" fontId="0" numFmtId="0" xfId="0" applyAlignment="1" applyFont="1">
      <alignment shrinkToFit="0" wrapText="1"/>
    </xf>
    <xf borderId="0" fillId="0" fontId="25" numFmtId="0" xfId="0" applyAlignment="1" applyFont="1">
      <alignment shrinkToFit="0" wrapText="1"/>
    </xf>
    <xf borderId="0" fillId="0" fontId="26" numFmtId="0" xfId="0" applyAlignment="1" applyFont="1">
      <alignment shrinkToFit="0" wrapText="0"/>
    </xf>
    <xf borderId="0" fillId="0" fontId="27" numFmtId="0" xfId="0" applyAlignment="1" applyFont="1">
      <alignment readingOrder="0"/>
    </xf>
  </cellXfs>
  <cellStyles count="1">
    <cellStyle xfId="0" name="Normal" builtinId="0"/>
  </cellStyles>
  <dxfs count="1">
    <dxf>
      <font>
        <color rgb="FFFFFFFF"/>
      </font>
      <fill>
        <patternFill patternType="solid">
          <fgColor rgb="FF000000"/>
          <bgColor rgb="FF000000"/>
        </patternFill>
      </fill>
      <alignment shrinkToFit="0" wrapText="0"/>
      <border>
        <left/>
        <right/>
        <top/>
        <bottom/>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8.5"/>
    <col customWidth="1" min="2" max="10" width="7.5"/>
    <col customWidth="1" min="11" max="11" width="10.0"/>
    <col customWidth="1" min="12" max="12" width="5.0"/>
    <col customWidth="1" min="13" max="15" width="8.25"/>
    <col customWidth="1" min="16" max="17" width="5.0"/>
    <col customWidth="1" min="18" max="26" width="12.63"/>
  </cols>
  <sheetData>
    <row r="1" ht="15.75" customHeight="1">
      <c r="A1" s="1" t="s">
        <v>0</v>
      </c>
      <c r="B1" s="2"/>
      <c r="C1" s="2"/>
      <c r="D1" s="2"/>
      <c r="E1" s="2"/>
      <c r="F1" s="2"/>
      <c r="G1" s="2"/>
      <c r="H1" s="2"/>
      <c r="I1" s="2"/>
      <c r="J1" s="2"/>
      <c r="K1" s="2"/>
      <c r="L1" s="2"/>
      <c r="M1" s="2"/>
      <c r="N1" s="2"/>
      <c r="O1" s="2"/>
      <c r="P1" s="2"/>
      <c r="Q1" s="3"/>
      <c r="R1" s="4"/>
      <c r="S1" s="4"/>
      <c r="T1" s="4"/>
      <c r="U1" s="4"/>
      <c r="V1" s="4"/>
      <c r="W1" s="4"/>
      <c r="X1" s="4"/>
      <c r="Y1" s="4"/>
      <c r="Z1" s="4"/>
    </row>
    <row r="2" ht="15.75" customHeight="1">
      <c r="A2" s="5" t="s">
        <v>1</v>
      </c>
      <c r="B2" s="6"/>
      <c r="C2" s="7"/>
      <c r="D2" s="7"/>
      <c r="E2" s="7"/>
      <c r="F2" s="7"/>
      <c r="G2" s="7"/>
      <c r="H2" s="7"/>
      <c r="I2" s="7"/>
      <c r="J2" s="7"/>
      <c r="K2" s="8" t="s">
        <v>2</v>
      </c>
      <c r="L2" s="7"/>
      <c r="M2" s="7"/>
      <c r="N2" s="7"/>
      <c r="O2" s="7"/>
      <c r="P2" s="7"/>
      <c r="Q2" s="9"/>
      <c r="R2" s="4"/>
      <c r="S2" s="4"/>
      <c r="T2" s="4"/>
      <c r="U2" s="4"/>
      <c r="V2" s="4"/>
      <c r="W2" s="4"/>
      <c r="X2" s="4"/>
      <c r="Y2" s="4"/>
      <c r="Z2" s="4"/>
    </row>
    <row r="3" ht="15.75" customHeight="1">
      <c r="A3" s="5" t="s">
        <v>3</v>
      </c>
      <c r="B3" s="10"/>
      <c r="C3" s="7"/>
      <c r="D3" s="7"/>
      <c r="E3" s="7"/>
      <c r="F3" s="7"/>
      <c r="G3" s="7"/>
      <c r="H3" s="7"/>
      <c r="I3" s="7"/>
      <c r="J3" s="7"/>
      <c r="K3" s="11" t="s">
        <v>4</v>
      </c>
      <c r="L3" s="11" t="s">
        <v>5</v>
      </c>
      <c r="M3" s="11" t="s">
        <v>6</v>
      </c>
      <c r="N3" s="11" t="s">
        <v>7</v>
      </c>
      <c r="O3" s="11" t="s">
        <v>8</v>
      </c>
      <c r="P3" s="12" t="s">
        <v>9</v>
      </c>
      <c r="Q3" s="11" t="s">
        <v>10</v>
      </c>
      <c r="R3" s="4"/>
      <c r="S3" s="4"/>
      <c r="T3" s="4"/>
      <c r="U3" s="4"/>
      <c r="V3" s="4"/>
      <c r="W3" s="4"/>
      <c r="X3" s="4"/>
      <c r="Y3" s="4"/>
      <c r="Z3" s="4"/>
    </row>
    <row r="4" ht="15.75" customHeight="1">
      <c r="A4" s="5" t="s">
        <v>11</v>
      </c>
      <c r="B4" s="13"/>
      <c r="C4" s="7"/>
      <c r="D4" s="7"/>
      <c r="E4" s="9"/>
      <c r="F4" s="5" t="s">
        <v>12</v>
      </c>
      <c r="G4" s="13"/>
      <c r="H4" s="7"/>
      <c r="I4" s="7"/>
      <c r="J4" s="9"/>
      <c r="K4" s="14" t="s">
        <v>13</v>
      </c>
      <c r="L4" s="15">
        <f t="shared" ref="L4:L6" si="1">INT(J9+J10)</f>
        <v>0</v>
      </c>
      <c r="M4" s="15">
        <f t="array" ref="M4">IF(AND($D$7&lt;&gt;"",$E$7&lt;&gt;0),VLOOKUP(K4,INDIRECT($D$7&amp;"!$A$7:$K$14"),'角色卡'!$E$7+1,FALSE),0)</f>
        <v>0</v>
      </c>
      <c r="N4" s="15">
        <f t="array" ref="N4">IF(AND($D$8&lt;&gt;"",$E$8&lt;&gt;0),VLOOKUP(K4,INDIRECT($D$8&amp;"!$A$7:$K$14"),'角色卡'!$E$8+1,FALSE),0)</f>
        <v>0</v>
      </c>
      <c r="O4" s="16">
        <f t="array" ref="O4">IF(AND($D$9&lt;&gt;"",$E$9&lt;&gt;0),VLOOKUP(K4,INDIRECT($D$9&amp;"!$A$7:$K$14"),'角色卡'!$E$9+1,FALSE),0)</f>
        <v>0</v>
      </c>
      <c r="P4" s="17"/>
      <c r="Q4" s="18">
        <f t="shared" ref="Q4:Q10" si="2">SUM(L4:P4)</f>
        <v>0</v>
      </c>
      <c r="R4" s="19"/>
      <c r="S4" s="4"/>
      <c r="T4" s="4"/>
      <c r="U4" s="4"/>
      <c r="V4" s="4"/>
      <c r="W4" s="4"/>
      <c r="X4" s="4"/>
      <c r="Y4" s="4"/>
      <c r="Z4" s="4"/>
    </row>
    <row r="5" ht="15.75" customHeight="1">
      <c r="A5" s="5" t="s">
        <v>14</v>
      </c>
      <c r="B5" s="20"/>
      <c r="C5" s="5" t="s">
        <v>15</v>
      </c>
      <c r="D5" s="21"/>
      <c r="E5" s="9"/>
      <c r="F5" s="22" t="s">
        <v>16</v>
      </c>
      <c r="G5" s="23"/>
      <c r="H5" s="24"/>
      <c r="I5" s="7"/>
      <c r="J5" s="9"/>
      <c r="K5" s="25" t="s">
        <v>17</v>
      </c>
      <c r="L5" s="15">
        <f t="shared" si="1"/>
        <v>0</v>
      </c>
      <c r="M5" s="15">
        <f t="array" ref="M5">IF(AND($D$7&lt;&gt;"",$E$7&lt;&gt;0),VLOOKUP(K5,INDIRECT($D$7&amp;"!$A$7:$K$14"),'角色卡'!$E$7+1,FALSE),0)</f>
        <v>0</v>
      </c>
      <c r="N5" s="15">
        <f t="array" ref="N5">IF(AND($D$8&lt;&gt;"",$E$8&lt;&gt;0),VLOOKUP(K5,INDIRECT($D$8&amp;"!$A$7:$K$14"),'角色卡'!$E$8+1,FALSE),0)</f>
        <v>0</v>
      </c>
      <c r="O5" s="16">
        <f t="array" ref="O5">IF(AND($D$9&lt;&gt;"",$E$9&lt;&gt;0),VLOOKUP(K5,INDIRECT($D$9&amp;"!$A$7:$K$14"),'角色卡'!$E$9+1,FALSE),0)</f>
        <v>0</v>
      </c>
      <c r="P5" s="26"/>
      <c r="Q5" s="18">
        <f t="shared" si="2"/>
        <v>0</v>
      </c>
      <c r="R5" s="19"/>
      <c r="S5" s="4"/>
      <c r="T5" s="4"/>
      <c r="U5" s="4"/>
      <c r="V5" s="4"/>
      <c r="W5" s="4"/>
      <c r="X5" s="4"/>
      <c r="Y5" s="4"/>
      <c r="Z5" s="4"/>
    </row>
    <row r="6" ht="13.5" customHeight="1">
      <c r="A6" s="27"/>
      <c r="B6" s="28" t="s">
        <v>18</v>
      </c>
      <c r="C6" s="29" t="s">
        <v>19</v>
      </c>
      <c r="D6" s="30" t="s">
        <v>20</v>
      </c>
      <c r="E6" s="29" t="s">
        <v>21</v>
      </c>
      <c r="F6" s="31"/>
      <c r="G6" s="32"/>
      <c r="H6" s="32"/>
      <c r="I6" s="32"/>
      <c r="J6" s="33"/>
      <c r="K6" s="34" t="s">
        <v>22</v>
      </c>
      <c r="L6" s="35">
        <f t="shared" si="1"/>
        <v>0</v>
      </c>
      <c r="M6" s="35">
        <f t="array" ref="M6">IF(AND($D$7&lt;&gt;"",$E$7&lt;&gt;0),VLOOKUP(K6,INDIRECT($D$7&amp;"!$A$7:$K$14"),'角色卡'!$E$7+1,FALSE),0)</f>
        <v>0</v>
      </c>
      <c r="N6" s="35">
        <f t="array" ref="N6">IF(AND($D$8&lt;&gt;"",$E$8&lt;&gt;0),VLOOKUP(K6,INDIRECT($D$8&amp;"!$A$7:$K$14"),'角色卡'!$E$8+1,FALSE),0)</f>
        <v>0</v>
      </c>
      <c r="O6" s="36">
        <f t="array" ref="O6">IF(AND($D$9&lt;&gt;"",$E$9&lt;&gt;0),VLOOKUP(K6,INDIRECT($D$9&amp;"!$A$7:$K$14"),'角色卡'!$E$9+1,FALSE),0)</f>
        <v>0</v>
      </c>
      <c r="P6" s="37"/>
      <c r="Q6" s="18">
        <f t="shared" si="2"/>
        <v>0</v>
      </c>
      <c r="R6" s="19"/>
      <c r="S6" s="4"/>
      <c r="T6" s="4"/>
      <c r="U6" s="4"/>
      <c r="V6" s="4"/>
      <c r="W6" s="4"/>
      <c r="X6" s="4"/>
      <c r="Y6" s="4"/>
      <c r="Z6" s="4"/>
    </row>
    <row r="7" ht="15.75" customHeight="1">
      <c r="A7" s="38" t="s">
        <v>23</v>
      </c>
      <c r="B7" s="24" t="s">
        <v>24</v>
      </c>
      <c r="C7" s="39"/>
      <c r="D7" s="24" t="str">
        <f>IF(B7&lt;&gt;"",B7,"")</f>
        <v>狩人</v>
      </c>
      <c r="E7" s="39"/>
      <c r="F7" s="30" t="s">
        <v>25</v>
      </c>
      <c r="G7" s="40"/>
      <c r="H7" s="41" t="s">
        <v>26</v>
      </c>
      <c r="I7" s="9"/>
      <c r="J7" s="42"/>
      <c r="K7" s="14" t="s">
        <v>27</v>
      </c>
      <c r="L7" s="15">
        <f>INT(J9+J12)</f>
        <v>0</v>
      </c>
      <c r="M7" s="16">
        <f t="array" ref="M7">IF(AND($D$7&lt;&gt;"",$E$7&lt;&gt;0),VLOOKUP(K7,INDIRECT($D$7&amp;"!$A$7:$K$14"),'角色卡'!$E$7+1,FALSE),0)</f>
        <v>0</v>
      </c>
      <c r="N7" s="15">
        <f t="array" ref="N7">IF(AND($D$8&lt;&gt;"",$E$8&lt;&gt;0),VLOOKUP(K7,INDIRECT($D$8&amp;"!$A$7:$K$14"),'角色卡'!$E$8+1,FALSE),0)</f>
        <v>0</v>
      </c>
      <c r="O7" s="16">
        <f t="array" ref="O7">IF(AND($D$9&lt;&gt;"",$E$9&lt;&gt;0),VLOOKUP(K7,INDIRECT($D$9&amp;"!$A$7:$K$14"),'角色卡'!$E$9+1,FALSE),0)</f>
        <v>0</v>
      </c>
      <c r="P7" s="26"/>
      <c r="Q7" s="18">
        <f t="shared" si="2"/>
        <v>0</v>
      </c>
      <c r="R7" s="19"/>
      <c r="S7" s="4"/>
      <c r="T7" s="4"/>
      <c r="U7" s="4"/>
      <c r="V7" s="4"/>
      <c r="W7" s="4"/>
      <c r="X7" s="4"/>
      <c r="Y7" s="4"/>
      <c r="Z7" s="4"/>
    </row>
    <row r="8" ht="15.75" customHeight="1">
      <c r="A8" s="38" t="s">
        <v>28</v>
      </c>
      <c r="B8" s="24"/>
      <c r="C8" s="39"/>
      <c r="D8" s="24"/>
      <c r="E8" s="39"/>
      <c r="F8" s="43" t="s">
        <v>29</v>
      </c>
      <c r="G8" s="44"/>
      <c r="H8" s="45" t="s">
        <v>30</v>
      </c>
      <c r="I8" s="27"/>
      <c r="J8" s="27"/>
      <c r="K8" s="14" t="s">
        <v>31</v>
      </c>
      <c r="L8" s="15">
        <f>IF(G7&gt;5,INT(J9+J11)*G7,INT(J9+J11)*5)</f>
        <v>0</v>
      </c>
      <c r="M8" s="16">
        <f t="array" ref="M8">IF(AND($D$7&lt;&gt;"",$E$7&lt;&gt;0),VLOOKUP(K8,INDIRECT($D$7&amp;"!$A$7:$K$14"),'角色卡'!$E$7+1,FALSE),0)</f>
        <v>0</v>
      </c>
      <c r="N8" s="15">
        <f t="array" ref="N8">IF(AND($D$8&lt;&gt;"",$E$8&lt;&gt;0),VLOOKUP(K8,INDIRECT($D$8&amp;"!$A$7:$K$14"),'角色卡'!$E$8+1,FALSE),0)</f>
        <v>0</v>
      </c>
      <c r="O8" s="16">
        <f t="array" ref="O8">IF(AND($D$9&lt;&gt;"",$E$9&lt;&gt;0),VLOOKUP(K8,INDIRECT($D$9&amp;"!$A$7:$K$14"),'角色卡'!$E$9+1,FALSE),0)</f>
        <v>0</v>
      </c>
      <c r="P8" s="26"/>
      <c r="Q8" s="18">
        <f t="shared" si="2"/>
        <v>0</v>
      </c>
      <c r="R8" s="19"/>
      <c r="S8" s="4"/>
      <c r="T8" s="19"/>
      <c r="U8" s="4"/>
      <c r="V8" s="4"/>
      <c r="W8" s="4"/>
      <c r="X8" s="4"/>
      <c r="Y8" s="4"/>
      <c r="Z8" s="4"/>
    </row>
    <row r="9" ht="15.75" customHeight="1">
      <c r="A9" s="46" t="s">
        <v>32</v>
      </c>
      <c r="B9" s="24"/>
      <c r="C9" s="39"/>
      <c r="D9" s="24" t="str">
        <f>IF(B9&lt;&gt;"",B9,"")</f>
        <v/>
      </c>
      <c r="E9" s="39"/>
      <c r="F9" s="25" t="s">
        <v>33</v>
      </c>
      <c r="G9" s="16">
        <f t="array" ref="G9">IF(AND($B$7&lt;&gt;"",$C$7&lt;&gt;0),INDIRECT('角色卡'!$B$7&amp;"!$A$4")*'角色卡'!$C$7,0)+IF(AND($B$8&lt;&gt;"",$C$8&lt;&gt;0),INDIRECT('角色卡'!$B$8&amp;"!$A$4")*'角色卡'!$C$8,0)+IF(AND($B$9&lt;&gt;"",$C$9&lt;&gt;0),INDIRECT('角色卡'!$B$9&amp;"!$A$4")*'角色卡'!$C$9,0)+H9</f>
        <v>0</v>
      </c>
      <c r="H9" s="17"/>
      <c r="I9" s="47" t="s">
        <v>34</v>
      </c>
      <c r="J9" s="16">
        <f t="shared" ref="J9:J12" si="3">INT(G9/3)</f>
        <v>0</v>
      </c>
      <c r="K9" s="14" t="s">
        <v>35</v>
      </c>
      <c r="L9" s="15">
        <f>INT(J10+J12)*5</f>
        <v>0</v>
      </c>
      <c r="M9" s="16">
        <f t="array" ref="M9">IF(AND($D$7&lt;&gt;"",$E$7&lt;&gt;0),VLOOKUP(K9,INDIRECT($D$7&amp;"!$A$7:$K$14"),'角色卡'!$E$7+1,FALSE),0)</f>
        <v>0</v>
      </c>
      <c r="N9" s="15">
        <f t="array" ref="N9">IF(AND($D$8&lt;&gt;"",$E$8&lt;&gt;0),VLOOKUP(K9,INDIRECT($D$8&amp;"!$A$7:$K$14"),'角色卡'!$E$8+1,FALSE),0)</f>
        <v>0</v>
      </c>
      <c r="O9" s="16">
        <f t="array" ref="O9">IF(AND($D$9&lt;&gt;"",$E$9&lt;&gt;0),VLOOKUP(K9,INDIRECT($D$9&amp;"!$A$7:$K$14"),'角色卡'!$E$9+1,FALSE),0)</f>
        <v>0</v>
      </c>
      <c r="P9" s="26"/>
      <c r="Q9" s="18">
        <f t="shared" si="2"/>
        <v>0</v>
      </c>
      <c r="R9" s="19"/>
      <c r="S9" s="19"/>
      <c r="T9" s="19"/>
      <c r="U9" s="4"/>
      <c r="V9" s="4"/>
      <c r="W9" s="4"/>
      <c r="X9" s="4"/>
      <c r="Y9" s="4"/>
      <c r="Z9" s="4"/>
    </row>
    <row r="10" ht="15.75" customHeight="1">
      <c r="A10" s="28" t="s">
        <v>36</v>
      </c>
      <c r="B10" s="13"/>
      <c r="C10" s="7"/>
      <c r="D10" s="7"/>
      <c r="E10" s="48" t="s">
        <v>37</v>
      </c>
      <c r="F10" s="14" t="s">
        <v>38</v>
      </c>
      <c r="G10" s="16">
        <f t="array" ref="G10">IF(AND($B$7&lt;&gt;"",$C$7&lt;&gt;0),INDIRECT('角色卡'!$B$7&amp;"!$B$4")*'角色卡'!$C$7,0)+IF(AND($B$8&lt;&gt;"",$C$8&lt;&gt;0),INDIRECT('角色卡'!$B$8&amp;"!$B$4")*'角色卡'!$C$8,0)+IF(AND($B$9&lt;&gt;"",$C$9&lt;&gt;0),INDIRECT('角色卡'!$B$9&amp;"!$B$4")*'角色卡'!$C$9,0)+H10</f>
        <v>0</v>
      </c>
      <c r="H10" s="26"/>
      <c r="I10" s="47" t="s">
        <v>39</v>
      </c>
      <c r="J10" s="16">
        <f t="shared" si="3"/>
        <v>0</v>
      </c>
      <c r="K10" s="14" t="s">
        <v>40</v>
      </c>
      <c r="L10" s="15">
        <v>0.0</v>
      </c>
      <c r="M10" s="16">
        <f t="array" ref="M10">IF(AND($D$7&lt;&gt;"",$E$7&lt;&gt;0),VLOOKUP(K10,INDIRECT($D$7&amp;"!$A$7:$K$14"),'角色卡'!$E$7+1,FALSE),0)</f>
        <v>0</v>
      </c>
      <c r="N10" s="35">
        <f t="array" ref="N10">IF(AND($D$8&lt;&gt;"",$E$8&lt;&gt;0),VLOOKUP(K10,INDIRECT($D$8&amp;"!$A$7:$K$14"),'角色卡'!$E$8+1,FALSE),0)</f>
        <v>0</v>
      </c>
      <c r="O10" s="16">
        <f t="array" ref="O10">IF(AND($D$9&lt;&gt;"",$E$9&lt;&gt;0),VLOOKUP(K10,INDIRECT($D$9&amp;"!$A$7:$K$14"),'角色卡'!$E$9+1,FALSE),0)</f>
        <v>0</v>
      </c>
      <c r="P10" s="49"/>
      <c r="Q10" s="18">
        <f t="shared" si="2"/>
        <v>0</v>
      </c>
      <c r="R10" s="4"/>
      <c r="S10" s="4"/>
      <c r="T10" s="4"/>
      <c r="U10" s="4"/>
      <c r="V10" s="4"/>
      <c r="W10" s="4"/>
      <c r="X10" s="4"/>
      <c r="Y10" s="4"/>
      <c r="Z10" s="4"/>
    </row>
    <row r="11" ht="15.75" customHeight="1">
      <c r="A11" s="28" t="s">
        <v>41</v>
      </c>
      <c r="B11" s="50" t="str">
        <f>IF(AND($B$10&lt;&gt;"風格",$B$10&lt;&gt;""),VLOOKUP($B$10,'風格'!$A$2:$K$35,3,FALSE),"")</f>
        <v/>
      </c>
      <c r="C11" s="7"/>
      <c r="D11" s="9"/>
      <c r="E11" s="51" t="str">
        <f>IF(AND($B$10&lt;&gt;"風格",$B$10&lt;&gt;""),VLOOKUP($B$10,'風格'!$A$2:$K$34,4,FALSE),"")</f>
        <v/>
      </c>
      <c r="F11" s="14" t="s">
        <v>42</v>
      </c>
      <c r="G11" s="16">
        <f t="array" ref="G11">IF(AND($B$7&lt;&gt;"",$C$7&lt;&gt;0),INDIRECT('角色卡'!$B$7&amp;"!$C$4")*'角色卡'!$C$7,0)+IF(AND($B$8&lt;&gt;"",$C$8&lt;&gt;0),INDIRECT('角色卡'!$B$8&amp;"!$C$4")*'角色卡'!$C$8,0)+IF(AND($B$9&lt;&gt;"",$C$9&lt;&gt;0),INDIRECT('角色卡'!$B$9&amp;"!$C$4")*'角色卡'!$C$9,0)+H11</f>
        <v>0</v>
      </c>
      <c r="H11" s="26"/>
      <c r="I11" s="47" t="s">
        <v>43</v>
      </c>
      <c r="J11" s="15">
        <f t="shared" si="3"/>
        <v>0</v>
      </c>
      <c r="K11" s="52" t="s">
        <v>44</v>
      </c>
      <c r="L11" s="53"/>
      <c r="M11" s="54" t="s">
        <v>45</v>
      </c>
      <c r="N11" s="55"/>
      <c r="O11" s="56" t="s">
        <v>46</v>
      </c>
      <c r="P11" s="55"/>
      <c r="Q11" s="57"/>
      <c r="R11" s="4"/>
      <c r="S11" s="4"/>
      <c r="T11" s="4"/>
      <c r="U11" s="4"/>
      <c r="V11" s="4"/>
      <c r="W11" s="4"/>
      <c r="X11" s="4"/>
      <c r="Y11" s="4"/>
      <c r="Z11" s="4"/>
    </row>
    <row r="12" ht="15.75" customHeight="1">
      <c r="A12" s="28" t="s">
        <v>47</v>
      </c>
      <c r="B12" s="58" t="str">
        <f>IF(AND($B$10&lt;&gt;"風格",$B$10&lt;&gt;""),VLOOKUP($B$10,'風格'!$A$2:$K$35,5,FALSE),"")</f>
        <v/>
      </c>
      <c r="C12" s="7"/>
      <c r="D12" s="9"/>
      <c r="E12" s="59"/>
      <c r="F12" s="14" t="s">
        <v>48</v>
      </c>
      <c r="G12" s="36">
        <f t="array" ref="G12">IF(AND($B$7&lt;&gt;"",$C$7&lt;&gt;0),INDIRECT('角色卡'!$B$7&amp;"!$D$4")*'角色卡'!$C$7,0)+IF(AND($B$8&lt;&gt;"",$C$8&lt;&gt;0),INDIRECT('角色卡'!$B$8&amp;"!$D$4")*'角色卡'!$C$8,0)+IF(AND($B$9&lt;&gt;"",$C$9&lt;&gt;0),INDIRECT('角色卡'!$B$9&amp;"!$D$4")*'角色卡'!$C$9,0)+H12</f>
        <v>0</v>
      </c>
      <c r="H12" s="49"/>
      <c r="I12" s="47" t="s">
        <v>49</v>
      </c>
      <c r="J12" s="35">
        <f t="shared" si="3"/>
        <v>0</v>
      </c>
      <c r="K12" s="60" t="s">
        <v>50</v>
      </c>
      <c r="L12" s="55"/>
      <c r="M12" s="60" t="s">
        <v>51</v>
      </c>
      <c r="N12" s="55"/>
      <c r="O12" s="60" t="s">
        <v>52</v>
      </c>
      <c r="P12" s="55">
        <v>6.0</v>
      </c>
      <c r="Q12" s="61"/>
      <c r="R12" s="4"/>
      <c r="S12" s="4"/>
      <c r="T12" s="19"/>
      <c r="U12" s="4"/>
      <c r="V12" s="4"/>
      <c r="W12" s="4"/>
      <c r="X12" s="4"/>
      <c r="Y12" s="4"/>
      <c r="Z12" s="4"/>
    </row>
    <row r="13" ht="31.5" customHeight="1">
      <c r="A13" s="38" t="s">
        <v>53</v>
      </c>
      <c r="B13" s="50" t="str">
        <f>IF(AND($B$10&lt;&gt;"風格",$B$10&lt;&gt;""),VLOOKUP($B$10,'風格'!$A$2:$K$35,7,FALSE),"")</f>
        <v/>
      </c>
      <c r="C13" s="7"/>
      <c r="D13" s="9"/>
      <c r="E13" s="30" t="s">
        <v>54</v>
      </c>
      <c r="F13" s="62" t="str">
        <f>IF(AND($B$10&lt;&gt;"風格",$B$10&lt;&gt;""),VLOOKUP($B$10,'風格'!$A$2:$K$35,9,FALSE),"")</f>
        <v/>
      </c>
      <c r="G13" s="7"/>
      <c r="H13" s="7"/>
      <c r="I13" s="7"/>
      <c r="J13" s="7"/>
      <c r="K13" s="7"/>
      <c r="L13" s="7"/>
      <c r="M13" s="7"/>
      <c r="N13" s="7"/>
      <c r="O13" s="7"/>
      <c r="P13" s="7"/>
      <c r="Q13" s="9"/>
      <c r="R13" s="4"/>
      <c r="S13" s="4"/>
      <c r="T13" s="4"/>
      <c r="U13" s="4"/>
      <c r="V13" s="4"/>
      <c r="W13" s="4"/>
      <c r="X13" s="4"/>
      <c r="Y13" s="4"/>
      <c r="Z13" s="4"/>
    </row>
    <row r="14" ht="31.5" customHeight="1">
      <c r="A14" s="38" t="s">
        <v>55</v>
      </c>
      <c r="B14" s="62" t="str">
        <f>IF(AND($B$10&lt;&gt;"風格",$B$10&lt;&gt;""),VLOOKUP($B$10,'風格'!$A$2:$K$35,10,FALSE),"")</f>
        <v/>
      </c>
      <c r="C14" s="7"/>
      <c r="D14" s="9"/>
      <c r="E14" s="30" t="s">
        <v>56</v>
      </c>
      <c r="F14" s="62" t="str">
        <f>IF(AND($B$10&lt;&gt;"風格",$B$10&lt;&gt;""),VLOOKUP($B$10,'風格'!$A$2:$K$35,11,FALSE),"")</f>
        <v/>
      </c>
      <c r="G14" s="7"/>
      <c r="H14" s="7"/>
      <c r="I14" s="7"/>
      <c r="J14" s="7"/>
      <c r="K14" s="7"/>
      <c r="L14" s="7"/>
      <c r="M14" s="7"/>
      <c r="N14" s="7"/>
      <c r="O14" s="7"/>
      <c r="P14" s="7"/>
      <c r="Q14" s="9"/>
      <c r="R14" s="4"/>
      <c r="S14" s="4"/>
      <c r="T14" s="4"/>
      <c r="U14" s="4"/>
      <c r="V14" s="4"/>
      <c r="W14" s="4"/>
      <c r="X14" s="4"/>
      <c r="Y14" s="4"/>
      <c r="Z14" s="4"/>
    </row>
    <row r="15" ht="15.75" customHeight="1">
      <c r="A15" s="8" t="s">
        <v>57</v>
      </c>
      <c r="B15" s="7"/>
      <c r="C15" s="7"/>
      <c r="D15" s="7"/>
      <c r="E15" s="7"/>
      <c r="F15" s="7"/>
      <c r="G15" s="7"/>
      <c r="H15" s="7"/>
      <c r="I15" s="7"/>
      <c r="J15" s="7"/>
      <c r="K15" s="7"/>
      <c r="L15" s="7"/>
      <c r="M15" s="7"/>
      <c r="N15" s="7"/>
      <c r="O15" s="7"/>
      <c r="P15" s="7"/>
      <c r="Q15" s="9"/>
      <c r="R15" s="4"/>
      <c r="S15" s="4"/>
      <c r="T15" s="4"/>
      <c r="U15" s="4"/>
      <c r="V15" s="4"/>
      <c r="W15" s="4"/>
      <c r="X15" s="4"/>
      <c r="Y15" s="4"/>
      <c r="Z15" s="4"/>
    </row>
    <row r="16" ht="15.75" customHeight="1">
      <c r="A16" s="63" t="s">
        <v>20</v>
      </c>
      <c r="B16" s="64" t="s">
        <v>58</v>
      </c>
      <c r="C16" s="9"/>
      <c r="D16" s="63" t="s">
        <v>37</v>
      </c>
      <c r="E16" s="63" t="s">
        <v>59</v>
      </c>
      <c r="F16" s="63" t="s">
        <v>60</v>
      </c>
      <c r="G16" s="64" t="s">
        <v>54</v>
      </c>
      <c r="H16" s="7"/>
      <c r="I16" s="7"/>
      <c r="J16" s="7"/>
      <c r="K16" s="7"/>
      <c r="L16" s="7"/>
      <c r="M16" s="7"/>
      <c r="N16" s="7"/>
      <c r="O16" s="7"/>
      <c r="P16" s="7"/>
      <c r="Q16" s="9"/>
      <c r="R16" s="4"/>
      <c r="S16" s="4"/>
      <c r="T16" s="4"/>
      <c r="U16" s="4"/>
      <c r="V16" s="4"/>
      <c r="W16" s="4"/>
      <c r="X16" s="4"/>
      <c r="Y16" s="4"/>
      <c r="Z16" s="4"/>
    </row>
    <row r="17" ht="31.5" customHeight="1">
      <c r="A17" s="24" t="s">
        <v>24</v>
      </c>
      <c r="B17" s="65" t="s">
        <v>61</v>
      </c>
      <c r="C17" s="9"/>
      <c r="D17" s="66" t="str">
        <f t="shared" ref="D17:D49" si="4">IF(AND($A17&lt;&gt;"",$B17&lt;&gt;""),VLOOKUP($B17,INDIRECT($A17&amp;"!A26:F75"),2,FALSE),"")</f>
        <v>攻擊類型／射擊 </v>
      </c>
      <c r="E17" s="67" t="str">
        <f t="shared" ref="E17:E49" si="5">IF(AND($A17&lt;&gt;"",$B17&lt;&gt;""),VLOOKUP($B17,INDIRECT($A17&amp;"!A26:F75"),3,FALSE),"")</f>
        <v>待機延遲2</v>
      </c>
      <c r="F17" s="67" t="str">
        <f t="shared" ref="F17:F49" si="6">IF(AND($A17&lt;&gt;"",$B17&lt;&gt;""),VLOOKUP($B17,INDIRECT($A17&amp;"!A26:F75"),4,FALSE),"")</f>
        <v>待機總合／2</v>
      </c>
      <c r="G17" s="68" t="str">
        <f t="shared" ref="G17:G49" si="7">IF(AND($A17&lt;&gt;"",$B17&lt;&gt;""),VLOOKUP($B17,INDIRECT($A17&amp;"!A26:F75"),6,FALSE),"")</f>
        <v>造成２Ｄ６+《體力》點傷害；每追加一回《４》點待機延遲，《》內的體力倍率+１且命中得到+１獎勵。</v>
      </c>
      <c r="H17" s="7"/>
      <c r="I17" s="7"/>
      <c r="J17" s="7"/>
      <c r="K17" s="7"/>
      <c r="L17" s="7"/>
      <c r="M17" s="7"/>
      <c r="N17" s="7"/>
      <c r="O17" s="7"/>
      <c r="P17" s="7"/>
      <c r="Q17" s="9"/>
      <c r="R17" s="69"/>
      <c r="S17" s="69"/>
      <c r="T17" s="27"/>
      <c r="U17" s="27"/>
      <c r="V17" s="27"/>
      <c r="W17" s="27"/>
      <c r="X17" s="27"/>
      <c r="Y17" s="27"/>
      <c r="Z17" s="27"/>
    </row>
    <row r="18" ht="31.5" customHeight="1">
      <c r="A18" s="24"/>
      <c r="B18" s="65"/>
      <c r="C18" s="9"/>
      <c r="D18" s="66" t="str">
        <f t="shared" si="4"/>
        <v/>
      </c>
      <c r="E18" s="67" t="str">
        <f t="shared" si="5"/>
        <v/>
      </c>
      <c r="F18" s="67" t="str">
        <f t="shared" si="6"/>
        <v/>
      </c>
      <c r="G18" s="68" t="str">
        <f t="shared" si="7"/>
        <v/>
      </c>
      <c r="H18" s="7"/>
      <c r="I18" s="7"/>
      <c r="J18" s="7"/>
      <c r="K18" s="7"/>
      <c r="L18" s="7"/>
      <c r="M18" s="7"/>
      <c r="N18" s="7"/>
      <c r="O18" s="7"/>
      <c r="P18" s="7"/>
      <c r="Q18" s="9"/>
      <c r="R18" s="27"/>
      <c r="S18" s="27"/>
      <c r="T18" s="27"/>
      <c r="U18" s="27"/>
      <c r="V18" s="27"/>
      <c r="W18" s="27"/>
      <c r="X18" s="27"/>
      <c r="Y18" s="27"/>
      <c r="Z18" s="27"/>
    </row>
    <row r="19" ht="31.5" customHeight="1">
      <c r="A19" s="24"/>
      <c r="B19" s="65"/>
      <c r="C19" s="9"/>
      <c r="D19" s="70" t="str">
        <f t="shared" si="4"/>
        <v/>
      </c>
      <c r="E19" s="71" t="str">
        <f t="shared" si="5"/>
        <v/>
      </c>
      <c r="F19" s="72" t="str">
        <f t="shared" si="6"/>
        <v/>
      </c>
      <c r="G19" s="73" t="str">
        <f t="shared" si="7"/>
        <v/>
      </c>
      <c r="H19" s="7"/>
      <c r="I19" s="7"/>
      <c r="J19" s="7"/>
      <c r="K19" s="7"/>
      <c r="L19" s="7"/>
      <c r="M19" s="7"/>
      <c r="N19" s="7"/>
      <c r="O19" s="7"/>
      <c r="P19" s="7"/>
      <c r="Q19" s="9"/>
      <c r="R19" s="69"/>
      <c r="S19" s="69"/>
      <c r="T19" s="69"/>
      <c r="U19" s="27"/>
      <c r="V19" s="27"/>
      <c r="W19" s="27"/>
      <c r="X19" s="27"/>
      <c r="Y19" s="27"/>
      <c r="Z19" s="27"/>
    </row>
    <row r="20" ht="31.5" customHeight="1">
      <c r="A20" s="24"/>
      <c r="B20" s="65"/>
      <c r="C20" s="9"/>
      <c r="D20" s="70" t="str">
        <f t="shared" si="4"/>
        <v/>
      </c>
      <c r="E20" s="71" t="str">
        <f t="shared" si="5"/>
        <v/>
      </c>
      <c r="F20" s="72" t="str">
        <f t="shared" si="6"/>
        <v/>
      </c>
      <c r="G20" s="73" t="str">
        <f t="shared" si="7"/>
        <v/>
      </c>
      <c r="H20" s="7"/>
      <c r="I20" s="7"/>
      <c r="J20" s="7"/>
      <c r="K20" s="7"/>
      <c r="L20" s="7"/>
      <c r="M20" s="7"/>
      <c r="N20" s="7"/>
      <c r="O20" s="7"/>
      <c r="P20" s="7"/>
      <c r="Q20" s="9"/>
      <c r="R20" s="69"/>
      <c r="S20" s="69"/>
      <c r="T20" s="27"/>
      <c r="U20" s="27"/>
      <c r="V20" s="27"/>
      <c r="W20" s="27"/>
      <c r="X20" s="27"/>
      <c r="Y20" s="27"/>
      <c r="Z20" s="27"/>
    </row>
    <row r="21" ht="31.5" customHeight="1">
      <c r="A21" s="24"/>
      <c r="B21" s="65"/>
      <c r="C21" s="9"/>
      <c r="D21" s="70" t="str">
        <f t="shared" si="4"/>
        <v/>
      </c>
      <c r="E21" s="71" t="str">
        <f t="shared" si="5"/>
        <v/>
      </c>
      <c r="F21" s="72" t="str">
        <f t="shared" si="6"/>
        <v/>
      </c>
      <c r="G21" s="73" t="str">
        <f t="shared" si="7"/>
        <v/>
      </c>
      <c r="H21" s="7"/>
      <c r="I21" s="7"/>
      <c r="J21" s="7"/>
      <c r="K21" s="7"/>
      <c r="L21" s="7"/>
      <c r="M21" s="7"/>
      <c r="N21" s="7"/>
      <c r="O21" s="7"/>
      <c r="P21" s="7"/>
      <c r="Q21" s="9"/>
      <c r="R21" s="69"/>
      <c r="S21" s="27"/>
      <c r="T21" s="27"/>
      <c r="U21" s="27"/>
      <c r="V21" s="27"/>
      <c r="W21" s="27"/>
      <c r="X21" s="27"/>
      <c r="Y21" s="27"/>
      <c r="Z21" s="27"/>
    </row>
    <row r="22" ht="31.5" customHeight="1">
      <c r="A22" s="24"/>
      <c r="B22" s="65"/>
      <c r="C22" s="9"/>
      <c r="D22" s="70" t="str">
        <f t="shared" si="4"/>
        <v/>
      </c>
      <c r="E22" s="71" t="str">
        <f t="shared" si="5"/>
        <v/>
      </c>
      <c r="F22" s="72" t="str">
        <f t="shared" si="6"/>
        <v/>
      </c>
      <c r="G22" s="73" t="str">
        <f t="shared" si="7"/>
        <v/>
      </c>
      <c r="H22" s="7"/>
      <c r="I22" s="7"/>
      <c r="J22" s="7"/>
      <c r="K22" s="7"/>
      <c r="L22" s="7"/>
      <c r="M22" s="7"/>
      <c r="N22" s="7"/>
      <c r="O22" s="7"/>
      <c r="P22" s="7"/>
      <c r="Q22" s="9"/>
      <c r="R22" s="69"/>
      <c r="S22" s="69"/>
      <c r="T22" s="69"/>
      <c r="U22" s="27"/>
      <c r="V22" s="27"/>
      <c r="W22" s="27"/>
      <c r="X22" s="27"/>
      <c r="Y22" s="27"/>
      <c r="Z22" s="27"/>
    </row>
    <row r="23" ht="31.5" customHeight="1">
      <c r="A23" s="24"/>
      <c r="B23" s="65"/>
      <c r="C23" s="9"/>
      <c r="D23" s="70" t="str">
        <f t="shared" si="4"/>
        <v/>
      </c>
      <c r="E23" s="71" t="str">
        <f t="shared" si="5"/>
        <v/>
      </c>
      <c r="F23" s="72" t="str">
        <f t="shared" si="6"/>
        <v/>
      </c>
      <c r="G23" s="73" t="str">
        <f t="shared" si="7"/>
        <v/>
      </c>
      <c r="H23" s="7"/>
      <c r="I23" s="7"/>
      <c r="J23" s="7"/>
      <c r="K23" s="7"/>
      <c r="L23" s="7"/>
      <c r="M23" s="7"/>
      <c r="N23" s="7"/>
      <c r="O23" s="7"/>
      <c r="P23" s="7"/>
      <c r="Q23" s="9"/>
      <c r="R23" s="69"/>
      <c r="S23" s="27"/>
      <c r="T23" s="27"/>
      <c r="U23" s="27"/>
      <c r="V23" s="27"/>
      <c r="W23" s="27"/>
      <c r="X23" s="27"/>
      <c r="Y23" s="27"/>
      <c r="Z23" s="27"/>
    </row>
    <row r="24" ht="31.5" customHeight="1">
      <c r="A24" s="24"/>
      <c r="B24" s="65"/>
      <c r="C24" s="9"/>
      <c r="D24" s="70" t="str">
        <f t="shared" si="4"/>
        <v/>
      </c>
      <c r="E24" s="71" t="str">
        <f t="shared" si="5"/>
        <v/>
      </c>
      <c r="F24" s="72" t="str">
        <f t="shared" si="6"/>
        <v/>
      </c>
      <c r="G24" s="73" t="str">
        <f t="shared" si="7"/>
        <v/>
      </c>
      <c r="H24" s="7"/>
      <c r="I24" s="7"/>
      <c r="J24" s="7"/>
      <c r="K24" s="7"/>
      <c r="L24" s="7"/>
      <c r="M24" s="7"/>
      <c r="N24" s="7"/>
      <c r="O24" s="7"/>
      <c r="P24" s="7"/>
      <c r="Q24" s="9"/>
      <c r="R24" s="27"/>
      <c r="S24" s="27"/>
      <c r="T24" s="27"/>
      <c r="U24" s="27"/>
      <c r="V24" s="27"/>
      <c r="W24" s="27"/>
      <c r="X24" s="27"/>
      <c r="Y24" s="27"/>
      <c r="Z24" s="27"/>
    </row>
    <row r="25" ht="31.5" customHeight="1">
      <c r="A25" s="24"/>
      <c r="B25" s="65"/>
      <c r="C25" s="9"/>
      <c r="D25" s="70" t="str">
        <f t="shared" si="4"/>
        <v/>
      </c>
      <c r="E25" s="71" t="str">
        <f t="shared" si="5"/>
        <v/>
      </c>
      <c r="F25" s="72" t="str">
        <f t="shared" si="6"/>
        <v/>
      </c>
      <c r="G25" s="73" t="str">
        <f t="shared" si="7"/>
        <v/>
      </c>
      <c r="H25" s="7"/>
      <c r="I25" s="7"/>
      <c r="J25" s="7"/>
      <c r="K25" s="7"/>
      <c r="L25" s="7"/>
      <c r="M25" s="7"/>
      <c r="N25" s="7"/>
      <c r="O25" s="7"/>
      <c r="P25" s="7"/>
      <c r="Q25" s="9"/>
      <c r="R25" s="69"/>
      <c r="S25" s="27"/>
      <c r="T25" s="27"/>
      <c r="U25" s="27"/>
      <c r="V25" s="27"/>
      <c r="W25" s="27"/>
      <c r="X25" s="27"/>
      <c r="Y25" s="27"/>
      <c r="Z25" s="27"/>
    </row>
    <row r="26" ht="31.5" customHeight="1">
      <c r="A26" s="24"/>
      <c r="B26" s="65"/>
      <c r="C26" s="9"/>
      <c r="D26" s="70" t="str">
        <f t="shared" si="4"/>
        <v/>
      </c>
      <c r="E26" s="71" t="str">
        <f t="shared" si="5"/>
        <v/>
      </c>
      <c r="F26" s="72" t="str">
        <f t="shared" si="6"/>
        <v/>
      </c>
      <c r="G26" s="73" t="str">
        <f t="shared" si="7"/>
        <v/>
      </c>
      <c r="H26" s="7"/>
      <c r="I26" s="7"/>
      <c r="J26" s="7"/>
      <c r="K26" s="7"/>
      <c r="L26" s="7"/>
      <c r="M26" s="7"/>
      <c r="N26" s="7"/>
      <c r="O26" s="7"/>
      <c r="P26" s="7"/>
      <c r="Q26" s="9"/>
      <c r="R26" s="69"/>
      <c r="S26" s="27"/>
      <c r="T26" s="27"/>
      <c r="U26" s="27"/>
      <c r="V26" s="27"/>
      <c r="W26" s="27"/>
      <c r="X26" s="27"/>
      <c r="Y26" s="27"/>
      <c r="Z26" s="27"/>
    </row>
    <row r="27" ht="31.5" customHeight="1">
      <c r="A27" s="24"/>
      <c r="B27" s="65"/>
      <c r="C27" s="9"/>
      <c r="D27" s="70" t="str">
        <f t="shared" si="4"/>
        <v/>
      </c>
      <c r="E27" s="71" t="str">
        <f t="shared" si="5"/>
        <v/>
      </c>
      <c r="F27" s="72" t="str">
        <f t="shared" si="6"/>
        <v/>
      </c>
      <c r="G27" s="73" t="str">
        <f t="shared" si="7"/>
        <v/>
      </c>
      <c r="H27" s="7"/>
      <c r="I27" s="7"/>
      <c r="J27" s="7"/>
      <c r="K27" s="7"/>
      <c r="L27" s="7"/>
      <c r="M27" s="7"/>
      <c r="N27" s="7"/>
      <c r="O27" s="7"/>
      <c r="P27" s="7"/>
      <c r="Q27" s="9"/>
      <c r="R27" s="69"/>
      <c r="S27" s="27"/>
      <c r="T27" s="27"/>
      <c r="U27" s="27"/>
      <c r="V27" s="27"/>
      <c r="W27" s="27"/>
      <c r="X27" s="27"/>
      <c r="Y27" s="27"/>
      <c r="Z27" s="27"/>
    </row>
    <row r="28" ht="31.5" customHeight="1">
      <c r="A28" s="24"/>
      <c r="B28" s="65"/>
      <c r="C28" s="9"/>
      <c r="D28" s="70" t="str">
        <f t="shared" si="4"/>
        <v/>
      </c>
      <c r="E28" s="71" t="str">
        <f t="shared" si="5"/>
        <v/>
      </c>
      <c r="F28" s="72" t="str">
        <f t="shared" si="6"/>
        <v/>
      </c>
      <c r="G28" s="73" t="str">
        <f t="shared" si="7"/>
        <v/>
      </c>
      <c r="H28" s="7"/>
      <c r="I28" s="7"/>
      <c r="J28" s="7"/>
      <c r="K28" s="7"/>
      <c r="L28" s="7"/>
      <c r="M28" s="7"/>
      <c r="N28" s="7"/>
      <c r="O28" s="7"/>
      <c r="P28" s="7"/>
      <c r="Q28" s="9"/>
      <c r="R28" s="69"/>
      <c r="S28" s="27"/>
      <c r="T28" s="27"/>
      <c r="U28" s="27"/>
      <c r="V28" s="27"/>
      <c r="W28" s="27"/>
      <c r="X28" s="27"/>
      <c r="Y28" s="27"/>
      <c r="Z28" s="27"/>
    </row>
    <row r="29" ht="31.5" customHeight="1">
      <c r="A29" s="24"/>
      <c r="B29" s="65"/>
      <c r="C29" s="9"/>
      <c r="D29" s="70" t="str">
        <f t="shared" si="4"/>
        <v/>
      </c>
      <c r="E29" s="71" t="str">
        <f t="shared" si="5"/>
        <v/>
      </c>
      <c r="F29" s="72" t="str">
        <f t="shared" si="6"/>
        <v/>
      </c>
      <c r="G29" s="73" t="str">
        <f t="shared" si="7"/>
        <v/>
      </c>
      <c r="H29" s="7"/>
      <c r="I29" s="7"/>
      <c r="J29" s="7"/>
      <c r="K29" s="7"/>
      <c r="L29" s="7"/>
      <c r="M29" s="7"/>
      <c r="N29" s="7"/>
      <c r="O29" s="7"/>
      <c r="P29" s="7"/>
      <c r="Q29" s="9"/>
      <c r="R29" s="69"/>
      <c r="S29" s="27"/>
      <c r="T29" s="27"/>
      <c r="U29" s="27"/>
      <c r="V29" s="27"/>
      <c r="W29" s="27"/>
      <c r="X29" s="27"/>
      <c r="Y29" s="27"/>
      <c r="Z29" s="27"/>
    </row>
    <row r="30" ht="31.5" customHeight="1">
      <c r="A30" s="24"/>
      <c r="B30" s="65"/>
      <c r="C30" s="9"/>
      <c r="D30" s="70" t="str">
        <f t="shared" si="4"/>
        <v/>
      </c>
      <c r="E30" s="71" t="str">
        <f t="shared" si="5"/>
        <v/>
      </c>
      <c r="F30" s="72" t="str">
        <f t="shared" si="6"/>
        <v/>
      </c>
      <c r="G30" s="73" t="str">
        <f t="shared" si="7"/>
        <v/>
      </c>
      <c r="H30" s="7"/>
      <c r="I30" s="7"/>
      <c r="J30" s="7"/>
      <c r="K30" s="7"/>
      <c r="L30" s="7"/>
      <c r="M30" s="7"/>
      <c r="N30" s="7"/>
      <c r="O30" s="7"/>
      <c r="P30" s="7"/>
      <c r="Q30" s="9"/>
      <c r="R30" s="69"/>
      <c r="S30" s="27"/>
      <c r="T30" s="27"/>
      <c r="U30" s="27"/>
      <c r="V30" s="27"/>
      <c r="W30" s="27"/>
      <c r="X30" s="27"/>
      <c r="Y30" s="27"/>
      <c r="Z30" s="27"/>
    </row>
    <row r="31" ht="31.5" customHeight="1">
      <c r="A31" s="24"/>
      <c r="B31" s="65"/>
      <c r="C31" s="9"/>
      <c r="D31" s="70" t="str">
        <f t="shared" si="4"/>
        <v/>
      </c>
      <c r="E31" s="71" t="str">
        <f t="shared" si="5"/>
        <v/>
      </c>
      <c r="F31" s="72" t="str">
        <f t="shared" si="6"/>
        <v/>
      </c>
      <c r="G31" s="73" t="str">
        <f t="shared" si="7"/>
        <v/>
      </c>
      <c r="H31" s="7"/>
      <c r="I31" s="7"/>
      <c r="J31" s="7"/>
      <c r="K31" s="7"/>
      <c r="L31" s="7"/>
      <c r="M31" s="7"/>
      <c r="N31" s="7"/>
      <c r="O31" s="7"/>
      <c r="P31" s="7"/>
      <c r="Q31" s="9"/>
      <c r="R31" s="69"/>
      <c r="S31" s="27"/>
      <c r="T31" s="27"/>
      <c r="U31" s="27"/>
      <c r="V31" s="27"/>
      <c r="W31" s="27"/>
      <c r="X31" s="27"/>
      <c r="Y31" s="27"/>
      <c r="Z31" s="27"/>
    </row>
    <row r="32" ht="31.5" customHeight="1">
      <c r="A32" s="24"/>
      <c r="B32" s="65"/>
      <c r="C32" s="9"/>
      <c r="D32" s="70" t="str">
        <f t="shared" si="4"/>
        <v/>
      </c>
      <c r="E32" s="71" t="str">
        <f t="shared" si="5"/>
        <v/>
      </c>
      <c r="F32" s="72" t="str">
        <f t="shared" si="6"/>
        <v/>
      </c>
      <c r="G32" s="73" t="str">
        <f t="shared" si="7"/>
        <v/>
      </c>
      <c r="H32" s="7"/>
      <c r="I32" s="7"/>
      <c r="J32" s="7"/>
      <c r="K32" s="7"/>
      <c r="L32" s="7"/>
      <c r="M32" s="7"/>
      <c r="N32" s="7"/>
      <c r="O32" s="7"/>
      <c r="P32" s="7"/>
      <c r="Q32" s="9"/>
      <c r="R32" s="69"/>
      <c r="S32" s="27"/>
      <c r="T32" s="27"/>
      <c r="U32" s="27"/>
      <c r="V32" s="27"/>
      <c r="W32" s="27"/>
      <c r="X32" s="27"/>
      <c r="Y32" s="27"/>
      <c r="Z32" s="27"/>
    </row>
    <row r="33" ht="31.5" customHeight="1">
      <c r="A33" s="24"/>
      <c r="B33" s="65"/>
      <c r="C33" s="9"/>
      <c r="D33" s="70" t="str">
        <f t="shared" si="4"/>
        <v/>
      </c>
      <c r="E33" s="71" t="str">
        <f t="shared" si="5"/>
        <v/>
      </c>
      <c r="F33" s="72" t="str">
        <f t="shared" si="6"/>
        <v/>
      </c>
      <c r="G33" s="73" t="str">
        <f t="shared" si="7"/>
        <v/>
      </c>
      <c r="H33" s="7"/>
      <c r="I33" s="7"/>
      <c r="J33" s="7"/>
      <c r="K33" s="7"/>
      <c r="L33" s="7"/>
      <c r="M33" s="7"/>
      <c r="N33" s="7"/>
      <c r="O33" s="7"/>
      <c r="P33" s="7"/>
      <c r="Q33" s="9"/>
      <c r="R33" s="69"/>
      <c r="S33" s="27"/>
      <c r="T33" s="27"/>
      <c r="U33" s="27"/>
      <c r="V33" s="27"/>
      <c r="W33" s="27"/>
      <c r="X33" s="27"/>
      <c r="Y33" s="27"/>
      <c r="Z33" s="27"/>
    </row>
    <row r="34" ht="31.5" customHeight="1">
      <c r="A34" s="24"/>
      <c r="B34" s="65"/>
      <c r="C34" s="9"/>
      <c r="D34" s="70" t="str">
        <f t="shared" si="4"/>
        <v/>
      </c>
      <c r="E34" s="71" t="str">
        <f t="shared" si="5"/>
        <v/>
      </c>
      <c r="F34" s="72" t="str">
        <f t="shared" si="6"/>
        <v/>
      </c>
      <c r="G34" s="73" t="str">
        <f t="shared" si="7"/>
        <v/>
      </c>
      <c r="H34" s="7"/>
      <c r="I34" s="7"/>
      <c r="J34" s="7"/>
      <c r="K34" s="7"/>
      <c r="L34" s="7"/>
      <c r="M34" s="7"/>
      <c r="N34" s="7"/>
      <c r="O34" s="7"/>
      <c r="P34" s="7"/>
      <c r="Q34" s="9"/>
      <c r="R34" s="27"/>
      <c r="S34" s="27"/>
      <c r="T34" s="27"/>
      <c r="U34" s="27"/>
      <c r="V34" s="27"/>
      <c r="W34" s="27"/>
      <c r="X34" s="27"/>
      <c r="Y34" s="27"/>
      <c r="Z34" s="27"/>
    </row>
    <row r="35" ht="31.5" customHeight="1">
      <c r="A35" s="24"/>
      <c r="B35" s="65"/>
      <c r="C35" s="9"/>
      <c r="D35" s="70" t="str">
        <f t="shared" si="4"/>
        <v/>
      </c>
      <c r="E35" s="71" t="str">
        <f t="shared" si="5"/>
        <v/>
      </c>
      <c r="F35" s="72" t="str">
        <f t="shared" si="6"/>
        <v/>
      </c>
      <c r="G35" s="73" t="str">
        <f t="shared" si="7"/>
        <v/>
      </c>
      <c r="H35" s="7"/>
      <c r="I35" s="7"/>
      <c r="J35" s="7"/>
      <c r="K35" s="7"/>
      <c r="L35" s="7"/>
      <c r="M35" s="7"/>
      <c r="N35" s="7"/>
      <c r="O35" s="7"/>
      <c r="P35" s="7"/>
      <c r="Q35" s="9"/>
      <c r="R35" s="27"/>
      <c r="S35" s="27"/>
      <c r="T35" s="27"/>
      <c r="U35" s="27"/>
      <c r="V35" s="27"/>
      <c r="W35" s="27"/>
      <c r="X35" s="27"/>
      <c r="Y35" s="27"/>
      <c r="Z35" s="27"/>
    </row>
    <row r="36" ht="31.5" customHeight="1">
      <c r="A36" s="24"/>
      <c r="B36" s="65"/>
      <c r="C36" s="9"/>
      <c r="D36" s="70" t="str">
        <f t="shared" si="4"/>
        <v/>
      </c>
      <c r="E36" s="71" t="str">
        <f t="shared" si="5"/>
        <v/>
      </c>
      <c r="F36" s="72" t="str">
        <f t="shared" si="6"/>
        <v/>
      </c>
      <c r="G36" s="73" t="str">
        <f t="shared" si="7"/>
        <v/>
      </c>
      <c r="H36" s="7"/>
      <c r="I36" s="7"/>
      <c r="J36" s="7"/>
      <c r="K36" s="7"/>
      <c r="L36" s="7"/>
      <c r="M36" s="7"/>
      <c r="N36" s="7"/>
      <c r="O36" s="7"/>
      <c r="P36" s="7"/>
      <c r="Q36" s="9"/>
      <c r="R36" s="27"/>
      <c r="S36" s="27"/>
      <c r="T36" s="27"/>
      <c r="U36" s="27"/>
      <c r="V36" s="27"/>
      <c r="W36" s="27"/>
      <c r="X36" s="27"/>
      <c r="Y36" s="27"/>
      <c r="Z36" s="27"/>
    </row>
    <row r="37" ht="31.5" customHeight="1">
      <c r="A37" s="24"/>
      <c r="B37" s="65"/>
      <c r="C37" s="9"/>
      <c r="D37" s="70" t="str">
        <f t="shared" si="4"/>
        <v/>
      </c>
      <c r="E37" s="71" t="str">
        <f t="shared" si="5"/>
        <v/>
      </c>
      <c r="F37" s="72" t="str">
        <f t="shared" si="6"/>
        <v/>
      </c>
      <c r="G37" s="73" t="str">
        <f t="shared" si="7"/>
        <v/>
      </c>
      <c r="H37" s="7"/>
      <c r="I37" s="7"/>
      <c r="J37" s="7"/>
      <c r="K37" s="7"/>
      <c r="L37" s="7"/>
      <c r="M37" s="7"/>
      <c r="N37" s="7"/>
      <c r="O37" s="7"/>
      <c r="P37" s="7"/>
      <c r="Q37" s="9"/>
      <c r="R37" s="27"/>
      <c r="S37" s="27"/>
      <c r="T37" s="27"/>
      <c r="U37" s="27"/>
      <c r="V37" s="27"/>
      <c r="W37" s="27"/>
      <c r="X37" s="27"/>
      <c r="Y37" s="27"/>
      <c r="Z37" s="27"/>
    </row>
    <row r="38" ht="31.5" customHeight="1">
      <c r="A38" s="24"/>
      <c r="B38" s="65"/>
      <c r="C38" s="9"/>
      <c r="D38" s="70" t="str">
        <f t="shared" si="4"/>
        <v/>
      </c>
      <c r="E38" s="71" t="str">
        <f t="shared" si="5"/>
        <v/>
      </c>
      <c r="F38" s="72" t="str">
        <f t="shared" si="6"/>
        <v/>
      </c>
      <c r="G38" s="73" t="str">
        <f t="shared" si="7"/>
        <v/>
      </c>
      <c r="H38" s="7"/>
      <c r="I38" s="7"/>
      <c r="J38" s="7"/>
      <c r="K38" s="7"/>
      <c r="L38" s="7"/>
      <c r="M38" s="7"/>
      <c r="N38" s="7"/>
      <c r="O38" s="7"/>
      <c r="P38" s="7"/>
      <c r="Q38" s="9"/>
      <c r="R38" s="27"/>
      <c r="S38" s="27"/>
      <c r="T38" s="27"/>
      <c r="U38" s="27"/>
      <c r="V38" s="27"/>
      <c r="W38" s="27"/>
      <c r="X38" s="27"/>
      <c r="Y38" s="27"/>
      <c r="Z38" s="27"/>
    </row>
    <row r="39" ht="31.5" customHeight="1">
      <c r="A39" s="24"/>
      <c r="B39" s="65"/>
      <c r="C39" s="9"/>
      <c r="D39" s="70" t="str">
        <f t="shared" si="4"/>
        <v/>
      </c>
      <c r="E39" s="71" t="str">
        <f t="shared" si="5"/>
        <v/>
      </c>
      <c r="F39" s="72" t="str">
        <f t="shared" si="6"/>
        <v/>
      </c>
      <c r="G39" s="73" t="str">
        <f t="shared" si="7"/>
        <v/>
      </c>
      <c r="H39" s="7"/>
      <c r="I39" s="7"/>
      <c r="J39" s="7"/>
      <c r="K39" s="7"/>
      <c r="L39" s="7"/>
      <c r="M39" s="7"/>
      <c r="N39" s="7"/>
      <c r="O39" s="7"/>
      <c r="P39" s="7"/>
      <c r="Q39" s="9"/>
      <c r="R39" s="27"/>
      <c r="S39" s="27"/>
      <c r="T39" s="27"/>
      <c r="U39" s="27"/>
      <c r="V39" s="27"/>
      <c r="W39" s="27"/>
      <c r="X39" s="27"/>
      <c r="Y39" s="27"/>
      <c r="Z39" s="27"/>
    </row>
    <row r="40" ht="31.5" customHeight="1">
      <c r="A40" s="24"/>
      <c r="B40" s="65"/>
      <c r="C40" s="9"/>
      <c r="D40" s="70" t="str">
        <f t="shared" si="4"/>
        <v/>
      </c>
      <c r="E40" s="71" t="str">
        <f t="shared" si="5"/>
        <v/>
      </c>
      <c r="F40" s="72" t="str">
        <f t="shared" si="6"/>
        <v/>
      </c>
      <c r="G40" s="73" t="str">
        <f t="shared" si="7"/>
        <v/>
      </c>
      <c r="H40" s="7"/>
      <c r="I40" s="7"/>
      <c r="J40" s="7"/>
      <c r="K40" s="7"/>
      <c r="L40" s="7"/>
      <c r="M40" s="7"/>
      <c r="N40" s="7"/>
      <c r="O40" s="7"/>
      <c r="P40" s="7"/>
      <c r="Q40" s="9"/>
      <c r="R40" s="27"/>
      <c r="S40" s="27"/>
      <c r="T40" s="27"/>
      <c r="U40" s="27"/>
      <c r="V40" s="27"/>
      <c r="W40" s="27"/>
      <c r="X40" s="27"/>
      <c r="Y40" s="27"/>
      <c r="Z40" s="27"/>
    </row>
    <row r="41" ht="31.5" customHeight="1">
      <c r="A41" s="24"/>
      <c r="B41" s="65"/>
      <c r="C41" s="9"/>
      <c r="D41" s="70" t="str">
        <f t="shared" si="4"/>
        <v/>
      </c>
      <c r="E41" s="71" t="str">
        <f t="shared" si="5"/>
        <v/>
      </c>
      <c r="F41" s="72" t="str">
        <f t="shared" si="6"/>
        <v/>
      </c>
      <c r="G41" s="73" t="str">
        <f t="shared" si="7"/>
        <v/>
      </c>
      <c r="H41" s="7"/>
      <c r="I41" s="7"/>
      <c r="J41" s="7"/>
      <c r="K41" s="7"/>
      <c r="L41" s="7"/>
      <c r="M41" s="7"/>
      <c r="N41" s="7"/>
      <c r="O41" s="7"/>
      <c r="P41" s="7"/>
      <c r="Q41" s="9"/>
      <c r="R41" s="27"/>
      <c r="S41" s="27"/>
      <c r="T41" s="27"/>
      <c r="U41" s="27"/>
      <c r="V41" s="27"/>
      <c r="W41" s="27"/>
      <c r="X41" s="27"/>
      <c r="Y41" s="27"/>
      <c r="Z41" s="27"/>
    </row>
    <row r="42" ht="31.5" customHeight="1">
      <c r="A42" s="24"/>
      <c r="B42" s="65"/>
      <c r="C42" s="9"/>
      <c r="D42" s="70" t="str">
        <f t="shared" si="4"/>
        <v/>
      </c>
      <c r="E42" s="71" t="str">
        <f t="shared" si="5"/>
        <v/>
      </c>
      <c r="F42" s="72" t="str">
        <f t="shared" si="6"/>
        <v/>
      </c>
      <c r="G42" s="73" t="str">
        <f t="shared" si="7"/>
        <v/>
      </c>
      <c r="H42" s="7"/>
      <c r="I42" s="7"/>
      <c r="J42" s="7"/>
      <c r="K42" s="7"/>
      <c r="L42" s="7"/>
      <c r="M42" s="7"/>
      <c r="N42" s="7"/>
      <c r="O42" s="7"/>
      <c r="P42" s="7"/>
      <c r="Q42" s="9"/>
      <c r="R42" s="27"/>
      <c r="S42" s="27"/>
      <c r="T42" s="27"/>
      <c r="U42" s="27"/>
      <c r="V42" s="27"/>
      <c r="W42" s="27"/>
      <c r="X42" s="27"/>
      <c r="Y42" s="27"/>
      <c r="Z42" s="27"/>
    </row>
    <row r="43" ht="31.5" customHeight="1">
      <c r="A43" s="24"/>
      <c r="B43" s="65"/>
      <c r="C43" s="9"/>
      <c r="D43" s="70" t="str">
        <f t="shared" si="4"/>
        <v/>
      </c>
      <c r="E43" s="71" t="str">
        <f t="shared" si="5"/>
        <v/>
      </c>
      <c r="F43" s="72" t="str">
        <f t="shared" si="6"/>
        <v/>
      </c>
      <c r="G43" s="73" t="str">
        <f t="shared" si="7"/>
        <v/>
      </c>
      <c r="H43" s="7"/>
      <c r="I43" s="7"/>
      <c r="J43" s="7"/>
      <c r="K43" s="7"/>
      <c r="L43" s="7"/>
      <c r="M43" s="7"/>
      <c r="N43" s="7"/>
      <c r="O43" s="7"/>
      <c r="P43" s="7"/>
      <c r="Q43" s="9"/>
      <c r="R43" s="27"/>
      <c r="S43" s="27"/>
      <c r="T43" s="27"/>
      <c r="U43" s="27"/>
      <c r="V43" s="27"/>
      <c r="W43" s="27"/>
      <c r="X43" s="27"/>
      <c r="Y43" s="27"/>
      <c r="Z43" s="27"/>
    </row>
    <row r="44" ht="31.5" customHeight="1">
      <c r="A44" s="24"/>
      <c r="B44" s="65"/>
      <c r="C44" s="9"/>
      <c r="D44" s="70" t="str">
        <f t="shared" si="4"/>
        <v/>
      </c>
      <c r="E44" s="71" t="str">
        <f t="shared" si="5"/>
        <v/>
      </c>
      <c r="F44" s="72" t="str">
        <f t="shared" si="6"/>
        <v/>
      </c>
      <c r="G44" s="73" t="str">
        <f t="shared" si="7"/>
        <v/>
      </c>
      <c r="H44" s="7"/>
      <c r="I44" s="7"/>
      <c r="J44" s="7"/>
      <c r="K44" s="7"/>
      <c r="L44" s="7"/>
      <c r="M44" s="7"/>
      <c r="N44" s="7"/>
      <c r="O44" s="7"/>
      <c r="P44" s="7"/>
      <c r="Q44" s="9"/>
      <c r="R44" s="27"/>
      <c r="S44" s="27"/>
      <c r="T44" s="27"/>
      <c r="U44" s="27"/>
      <c r="V44" s="27"/>
      <c r="W44" s="27"/>
      <c r="X44" s="27"/>
      <c r="Y44" s="27"/>
      <c r="Z44" s="27"/>
    </row>
    <row r="45" ht="31.5" customHeight="1">
      <c r="A45" s="24"/>
      <c r="B45" s="65"/>
      <c r="C45" s="9"/>
      <c r="D45" s="70" t="str">
        <f t="shared" si="4"/>
        <v/>
      </c>
      <c r="E45" s="71" t="str">
        <f t="shared" si="5"/>
        <v/>
      </c>
      <c r="F45" s="72" t="str">
        <f t="shared" si="6"/>
        <v/>
      </c>
      <c r="G45" s="73" t="str">
        <f t="shared" si="7"/>
        <v/>
      </c>
      <c r="H45" s="7"/>
      <c r="I45" s="7"/>
      <c r="J45" s="7"/>
      <c r="K45" s="7"/>
      <c r="L45" s="7"/>
      <c r="M45" s="7"/>
      <c r="N45" s="7"/>
      <c r="O45" s="7"/>
      <c r="P45" s="7"/>
      <c r="Q45" s="9"/>
      <c r="R45" s="27"/>
      <c r="S45" s="27"/>
      <c r="T45" s="27"/>
      <c r="U45" s="27"/>
      <c r="V45" s="27"/>
      <c r="W45" s="27"/>
      <c r="X45" s="27"/>
      <c r="Y45" s="27"/>
      <c r="Z45" s="27"/>
    </row>
    <row r="46" ht="31.5" customHeight="1">
      <c r="A46" s="24"/>
      <c r="B46" s="65"/>
      <c r="C46" s="9"/>
      <c r="D46" s="70" t="str">
        <f t="shared" si="4"/>
        <v/>
      </c>
      <c r="E46" s="71" t="str">
        <f t="shared" si="5"/>
        <v/>
      </c>
      <c r="F46" s="72" t="str">
        <f t="shared" si="6"/>
        <v/>
      </c>
      <c r="G46" s="73" t="str">
        <f t="shared" si="7"/>
        <v/>
      </c>
      <c r="H46" s="7"/>
      <c r="I46" s="7"/>
      <c r="J46" s="7"/>
      <c r="K46" s="7"/>
      <c r="L46" s="7"/>
      <c r="M46" s="7"/>
      <c r="N46" s="7"/>
      <c r="O46" s="7"/>
      <c r="P46" s="7"/>
      <c r="Q46" s="9"/>
      <c r="R46" s="27"/>
      <c r="S46" s="27"/>
      <c r="T46" s="27"/>
      <c r="U46" s="27"/>
      <c r="V46" s="27"/>
      <c r="W46" s="27"/>
      <c r="X46" s="27"/>
      <c r="Y46" s="27"/>
      <c r="Z46" s="27"/>
    </row>
    <row r="47" ht="31.5" customHeight="1">
      <c r="A47" s="24"/>
      <c r="B47" s="65"/>
      <c r="C47" s="9"/>
      <c r="D47" s="70" t="str">
        <f t="shared" si="4"/>
        <v/>
      </c>
      <c r="E47" s="71" t="str">
        <f t="shared" si="5"/>
        <v/>
      </c>
      <c r="F47" s="72" t="str">
        <f t="shared" si="6"/>
        <v/>
      </c>
      <c r="G47" s="73" t="str">
        <f t="shared" si="7"/>
        <v/>
      </c>
      <c r="H47" s="7"/>
      <c r="I47" s="7"/>
      <c r="J47" s="7"/>
      <c r="K47" s="7"/>
      <c r="L47" s="7"/>
      <c r="M47" s="7"/>
      <c r="N47" s="7"/>
      <c r="O47" s="7"/>
      <c r="P47" s="7"/>
      <c r="Q47" s="9"/>
      <c r="R47" s="27"/>
      <c r="S47" s="27"/>
      <c r="T47" s="27"/>
      <c r="U47" s="27"/>
      <c r="V47" s="27"/>
      <c r="W47" s="27"/>
      <c r="X47" s="27"/>
      <c r="Y47" s="27"/>
      <c r="Z47" s="27"/>
    </row>
    <row r="48" ht="31.5" customHeight="1">
      <c r="A48" s="24"/>
      <c r="B48" s="65"/>
      <c r="C48" s="9"/>
      <c r="D48" s="70" t="str">
        <f t="shared" si="4"/>
        <v/>
      </c>
      <c r="E48" s="71" t="str">
        <f t="shared" si="5"/>
        <v/>
      </c>
      <c r="F48" s="72" t="str">
        <f t="shared" si="6"/>
        <v/>
      </c>
      <c r="G48" s="73" t="str">
        <f t="shared" si="7"/>
        <v/>
      </c>
      <c r="H48" s="7"/>
      <c r="I48" s="7"/>
      <c r="J48" s="7"/>
      <c r="K48" s="7"/>
      <c r="L48" s="7"/>
      <c r="M48" s="7"/>
      <c r="N48" s="7"/>
      <c r="O48" s="7"/>
      <c r="P48" s="7"/>
      <c r="Q48" s="9"/>
      <c r="R48" s="27"/>
      <c r="S48" s="27"/>
      <c r="T48" s="27"/>
      <c r="U48" s="27"/>
      <c r="V48" s="27"/>
      <c r="W48" s="27"/>
      <c r="X48" s="27"/>
      <c r="Y48" s="27"/>
      <c r="Z48" s="27"/>
    </row>
    <row r="49" ht="31.5" customHeight="1">
      <c r="A49" s="24"/>
      <c r="B49" s="65"/>
      <c r="C49" s="9"/>
      <c r="D49" s="70" t="str">
        <f t="shared" si="4"/>
        <v/>
      </c>
      <c r="E49" s="71" t="str">
        <f t="shared" si="5"/>
        <v/>
      </c>
      <c r="F49" s="72" t="str">
        <f t="shared" si="6"/>
        <v/>
      </c>
      <c r="G49" s="73" t="str">
        <f t="shared" si="7"/>
        <v/>
      </c>
      <c r="H49" s="7"/>
      <c r="I49" s="7"/>
      <c r="J49" s="7"/>
      <c r="K49" s="7"/>
      <c r="L49" s="7"/>
      <c r="M49" s="7"/>
      <c r="N49" s="7"/>
      <c r="O49" s="7"/>
      <c r="P49" s="7"/>
      <c r="Q49" s="9"/>
      <c r="R49" s="27"/>
      <c r="S49" s="27"/>
      <c r="T49" s="27"/>
      <c r="U49" s="27"/>
      <c r="V49" s="27"/>
      <c r="W49" s="27"/>
      <c r="X49" s="27"/>
      <c r="Y49" s="27"/>
      <c r="Z49" s="27"/>
    </row>
    <row r="50" ht="15.75" customHeight="1">
      <c r="A50" s="8" t="s">
        <v>62</v>
      </c>
      <c r="B50" s="7"/>
      <c r="C50" s="9"/>
      <c r="D50" s="74" t="s">
        <v>63</v>
      </c>
      <c r="E50" s="75"/>
      <c r="F50" s="7"/>
      <c r="G50" s="9"/>
      <c r="H50" s="75"/>
      <c r="I50" s="7"/>
      <c r="J50" s="9"/>
      <c r="K50" s="75"/>
      <c r="L50" s="7"/>
      <c r="M50" s="9"/>
      <c r="N50" s="76"/>
      <c r="O50" s="7"/>
      <c r="P50" s="9"/>
      <c r="Q50" s="4"/>
      <c r="R50" s="4"/>
      <c r="S50" s="4"/>
      <c r="T50" s="4"/>
      <c r="U50" s="4"/>
      <c r="V50" s="4"/>
      <c r="W50" s="4"/>
      <c r="X50" s="4"/>
      <c r="Y50" s="4"/>
      <c r="Z50" s="4"/>
    </row>
    <row r="51" ht="15.75" customHeight="1">
      <c r="A51" s="38" t="s">
        <v>64</v>
      </c>
      <c r="B51" s="77"/>
      <c r="C51" s="9"/>
      <c r="D51" s="59"/>
      <c r="E51" s="76"/>
      <c r="F51" s="7"/>
      <c r="G51" s="9"/>
      <c r="H51" s="76"/>
      <c r="I51" s="7"/>
      <c r="J51" s="9"/>
      <c r="K51" s="76"/>
      <c r="L51" s="7"/>
      <c r="M51" s="9"/>
      <c r="N51" s="76"/>
      <c r="O51" s="7"/>
      <c r="P51" s="9"/>
      <c r="Q51" s="4"/>
      <c r="R51" s="4"/>
      <c r="S51" s="4"/>
      <c r="T51" s="4"/>
      <c r="U51" s="4"/>
      <c r="V51" s="4"/>
      <c r="W51" s="4"/>
      <c r="X51" s="4"/>
      <c r="Y51" s="4"/>
      <c r="Z51" s="4"/>
    </row>
    <row r="52" ht="15.75" customHeight="1">
      <c r="A52" s="38" t="s">
        <v>65</v>
      </c>
      <c r="B52" s="77"/>
      <c r="C52" s="9"/>
      <c r="D52" s="59"/>
      <c r="E52" s="76"/>
      <c r="F52" s="7"/>
      <c r="G52" s="9"/>
      <c r="H52" s="76"/>
      <c r="I52" s="7"/>
      <c r="J52" s="9"/>
      <c r="K52" s="78"/>
      <c r="L52" s="7"/>
      <c r="M52" s="9"/>
      <c r="N52" s="78"/>
      <c r="O52" s="7"/>
      <c r="P52" s="9"/>
      <c r="Q52" s="4"/>
      <c r="R52" s="4"/>
      <c r="S52" s="4"/>
      <c r="T52" s="4"/>
      <c r="U52" s="4"/>
      <c r="V52" s="4"/>
      <c r="W52" s="4"/>
      <c r="X52" s="4"/>
      <c r="Y52" s="4"/>
      <c r="Z52" s="4"/>
    </row>
    <row r="53" ht="15.75" customHeight="1">
      <c r="A53" s="38" t="s">
        <v>66</v>
      </c>
      <c r="B53" s="77"/>
      <c r="C53" s="9"/>
      <c r="D53" s="79"/>
      <c r="E53" s="78"/>
      <c r="F53" s="7"/>
      <c r="G53" s="9"/>
      <c r="H53" s="80"/>
      <c r="I53" s="32"/>
      <c r="J53" s="33"/>
      <c r="K53" s="80"/>
      <c r="L53" s="32"/>
      <c r="M53" s="33"/>
      <c r="N53" s="80"/>
      <c r="O53" s="32"/>
      <c r="P53" s="33"/>
      <c r="Q53" s="4"/>
      <c r="R53" s="4"/>
      <c r="S53" s="4"/>
      <c r="T53" s="4"/>
      <c r="U53" s="4"/>
      <c r="V53" s="4"/>
      <c r="W53" s="4"/>
      <c r="X53" s="4"/>
      <c r="Y53" s="4"/>
      <c r="Z53" s="4"/>
    </row>
    <row r="54" ht="15.75" customHeight="1">
      <c r="A54" s="8" t="s">
        <v>67</v>
      </c>
      <c r="B54" s="7"/>
      <c r="C54" s="7"/>
      <c r="D54" s="7"/>
      <c r="E54" s="7"/>
      <c r="F54" s="7"/>
      <c r="G54" s="9"/>
      <c r="H54" s="81" t="s">
        <v>68</v>
      </c>
      <c r="I54" s="7"/>
      <c r="J54" s="7"/>
      <c r="K54" s="7"/>
      <c r="L54" s="7"/>
      <c r="M54" s="7"/>
      <c r="N54" s="7"/>
      <c r="O54" s="7"/>
      <c r="P54" s="7"/>
      <c r="Q54" s="9"/>
      <c r="R54" s="4"/>
      <c r="S54" s="4"/>
      <c r="T54" s="4"/>
      <c r="U54" s="4"/>
      <c r="V54" s="4"/>
      <c r="W54" s="4"/>
      <c r="X54" s="4"/>
      <c r="Y54" s="4"/>
      <c r="Z54" s="4"/>
    </row>
    <row r="55" ht="15.75" customHeight="1">
      <c r="A55" s="82" t="s">
        <v>69</v>
      </c>
      <c r="B55" s="9"/>
      <c r="C55" s="82" t="s">
        <v>70</v>
      </c>
      <c r="D55" s="9"/>
      <c r="E55" s="83" t="s">
        <v>71</v>
      </c>
      <c r="F55" s="82" t="s">
        <v>72</v>
      </c>
      <c r="G55" s="9"/>
      <c r="H55" s="84"/>
      <c r="I55" s="32"/>
      <c r="J55" s="32"/>
      <c r="K55" s="32"/>
      <c r="L55" s="32"/>
      <c r="M55" s="32"/>
      <c r="N55" s="32"/>
      <c r="O55" s="32"/>
      <c r="P55" s="32"/>
      <c r="Q55" s="33"/>
      <c r="R55" s="4"/>
      <c r="S55" s="4"/>
      <c r="T55" s="4"/>
      <c r="U55" s="4"/>
      <c r="V55" s="4"/>
      <c r="W55" s="4"/>
      <c r="X55" s="4"/>
      <c r="Y55" s="4"/>
      <c r="Z55" s="4"/>
    </row>
    <row r="56" ht="15.75" customHeight="1">
      <c r="A56" s="85"/>
      <c r="B56" s="9"/>
      <c r="C56" s="85"/>
      <c r="D56" s="9"/>
      <c r="E56" s="86">
        <f t="shared" ref="E56:E79" si="8">IF($C56&lt;&gt;"",VLOOKUP($C56,INDIRECT($C$55&amp;"!$A:$D"),2,FALSE),0)</f>
        <v>0</v>
      </c>
      <c r="F56" s="87"/>
      <c r="G56" s="9"/>
      <c r="H56" s="88"/>
      <c r="Q56" s="89"/>
      <c r="R56" s="4"/>
      <c r="S56" s="4"/>
      <c r="T56" s="4"/>
      <c r="U56" s="4"/>
      <c r="V56" s="4"/>
      <c r="W56" s="4"/>
      <c r="X56" s="4"/>
      <c r="Y56" s="4"/>
      <c r="Z56" s="4"/>
    </row>
    <row r="57" ht="15.75" customHeight="1">
      <c r="A57" s="85"/>
      <c r="B57" s="9"/>
      <c r="C57" s="85"/>
      <c r="D57" s="9"/>
      <c r="E57" s="86">
        <f t="shared" si="8"/>
        <v>0</v>
      </c>
      <c r="F57" s="87"/>
      <c r="G57" s="9"/>
      <c r="H57" s="88"/>
      <c r="Q57" s="89"/>
      <c r="R57" s="4"/>
      <c r="S57" s="4"/>
      <c r="T57" s="4"/>
      <c r="U57" s="4"/>
      <c r="V57" s="4"/>
      <c r="W57" s="4"/>
      <c r="X57" s="4"/>
      <c r="Y57" s="4"/>
      <c r="Z57" s="4"/>
    </row>
    <row r="58" ht="15.75" customHeight="1">
      <c r="A58" s="85"/>
      <c r="B58" s="9"/>
      <c r="C58" s="85"/>
      <c r="D58" s="9"/>
      <c r="E58" s="86">
        <f t="shared" si="8"/>
        <v>0</v>
      </c>
      <c r="F58" s="87"/>
      <c r="G58" s="9"/>
      <c r="H58" s="88"/>
      <c r="Q58" s="89"/>
      <c r="R58" s="4"/>
      <c r="S58" s="4"/>
      <c r="T58" s="4"/>
      <c r="U58" s="4"/>
      <c r="V58" s="4"/>
      <c r="W58" s="4"/>
      <c r="X58" s="4"/>
      <c r="Y58" s="4"/>
      <c r="Z58" s="4"/>
    </row>
    <row r="59" ht="15.75" customHeight="1">
      <c r="A59" s="85"/>
      <c r="B59" s="9"/>
      <c r="C59" s="85"/>
      <c r="D59" s="9"/>
      <c r="E59" s="86">
        <f t="shared" si="8"/>
        <v>0</v>
      </c>
      <c r="F59" s="87"/>
      <c r="G59" s="9"/>
      <c r="H59" s="88"/>
      <c r="Q59" s="89"/>
      <c r="R59" s="4"/>
      <c r="S59" s="4"/>
      <c r="T59" s="4"/>
      <c r="U59" s="4"/>
      <c r="V59" s="4"/>
      <c r="W59" s="4"/>
      <c r="X59" s="4"/>
      <c r="Y59" s="4"/>
      <c r="Z59" s="4"/>
    </row>
    <row r="60" ht="15.75" customHeight="1">
      <c r="A60" s="85"/>
      <c r="B60" s="9"/>
      <c r="C60" s="85"/>
      <c r="D60" s="9"/>
      <c r="E60" s="86">
        <f t="shared" si="8"/>
        <v>0</v>
      </c>
      <c r="F60" s="87"/>
      <c r="G60" s="9"/>
      <c r="H60" s="88"/>
      <c r="Q60" s="89"/>
      <c r="R60" s="4"/>
      <c r="S60" s="4"/>
      <c r="T60" s="4"/>
      <c r="U60" s="4"/>
      <c r="V60" s="4"/>
      <c r="W60" s="4"/>
      <c r="X60" s="4"/>
      <c r="Y60" s="4"/>
      <c r="Z60" s="4"/>
    </row>
    <row r="61" ht="15.75" customHeight="1">
      <c r="A61" s="85"/>
      <c r="B61" s="9"/>
      <c r="C61" s="87"/>
      <c r="D61" s="9"/>
      <c r="E61" s="86">
        <f t="shared" si="8"/>
        <v>0</v>
      </c>
      <c r="F61" s="87"/>
      <c r="G61" s="9"/>
      <c r="H61" s="88"/>
      <c r="Q61" s="89"/>
      <c r="R61" s="4"/>
      <c r="S61" s="4"/>
      <c r="T61" s="4"/>
      <c r="U61" s="4"/>
      <c r="V61" s="4"/>
      <c r="W61" s="4"/>
      <c r="X61" s="4"/>
      <c r="Y61" s="4"/>
      <c r="Z61" s="4"/>
    </row>
    <row r="62" ht="15.75" customHeight="1">
      <c r="A62" s="87"/>
      <c r="B62" s="9"/>
      <c r="C62" s="87"/>
      <c r="D62" s="9"/>
      <c r="E62" s="86">
        <f t="shared" si="8"/>
        <v>0</v>
      </c>
      <c r="F62" s="87"/>
      <c r="G62" s="9"/>
      <c r="H62" s="88"/>
      <c r="Q62" s="89"/>
      <c r="R62" s="4"/>
      <c r="S62" s="4"/>
      <c r="T62" s="4"/>
      <c r="U62" s="4"/>
      <c r="V62" s="4"/>
      <c r="W62" s="4"/>
      <c r="X62" s="4"/>
      <c r="Y62" s="4"/>
      <c r="Z62" s="4"/>
    </row>
    <row r="63" ht="15.75" customHeight="1">
      <c r="A63" s="87"/>
      <c r="B63" s="9"/>
      <c r="C63" s="87"/>
      <c r="D63" s="9"/>
      <c r="E63" s="86">
        <f t="shared" si="8"/>
        <v>0</v>
      </c>
      <c r="F63" s="87"/>
      <c r="G63" s="9"/>
      <c r="H63" s="88"/>
      <c r="Q63" s="89"/>
      <c r="R63" s="4"/>
      <c r="S63" s="4"/>
      <c r="T63" s="4"/>
      <c r="U63" s="4"/>
      <c r="V63" s="4"/>
      <c r="W63" s="4"/>
      <c r="X63" s="4"/>
      <c r="Y63" s="4"/>
      <c r="Z63" s="4"/>
    </row>
    <row r="64" ht="15.75" customHeight="1">
      <c r="A64" s="87"/>
      <c r="B64" s="9"/>
      <c r="C64" s="87"/>
      <c r="D64" s="9"/>
      <c r="E64" s="86">
        <f t="shared" si="8"/>
        <v>0</v>
      </c>
      <c r="F64" s="87"/>
      <c r="G64" s="9"/>
      <c r="H64" s="88"/>
      <c r="Q64" s="89"/>
      <c r="R64" s="4"/>
      <c r="S64" s="4"/>
      <c r="T64" s="4"/>
      <c r="U64" s="4"/>
      <c r="V64" s="4"/>
      <c r="W64" s="4"/>
      <c r="X64" s="4"/>
      <c r="Y64" s="4"/>
      <c r="Z64" s="4"/>
    </row>
    <row r="65" ht="15.75" customHeight="1">
      <c r="A65" s="87"/>
      <c r="B65" s="9"/>
      <c r="C65" s="87"/>
      <c r="D65" s="9"/>
      <c r="E65" s="86">
        <f t="shared" si="8"/>
        <v>0</v>
      </c>
      <c r="F65" s="87"/>
      <c r="G65" s="9"/>
      <c r="H65" s="88"/>
      <c r="Q65" s="89"/>
      <c r="R65" s="4"/>
      <c r="S65" s="4"/>
      <c r="T65" s="4"/>
      <c r="U65" s="4"/>
      <c r="V65" s="4"/>
      <c r="W65" s="4"/>
      <c r="X65" s="4"/>
      <c r="Y65" s="4"/>
      <c r="Z65" s="4"/>
    </row>
    <row r="66" ht="15.75" customHeight="1">
      <c r="A66" s="87"/>
      <c r="B66" s="9"/>
      <c r="C66" s="87"/>
      <c r="D66" s="9"/>
      <c r="E66" s="86">
        <f t="shared" si="8"/>
        <v>0</v>
      </c>
      <c r="F66" s="87"/>
      <c r="G66" s="9"/>
      <c r="H66" s="88"/>
      <c r="Q66" s="89"/>
      <c r="R66" s="4"/>
      <c r="S66" s="4"/>
      <c r="T66" s="4"/>
      <c r="U66" s="4"/>
      <c r="V66" s="4"/>
      <c r="W66" s="4"/>
      <c r="X66" s="4"/>
      <c r="Y66" s="4"/>
      <c r="Z66" s="4"/>
    </row>
    <row r="67" ht="15.75" customHeight="1">
      <c r="A67" s="87"/>
      <c r="B67" s="9"/>
      <c r="C67" s="87"/>
      <c r="D67" s="9"/>
      <c r="E67" s="86">
        <f t="shared" si="8"/>
        <v>0</v>
      </c>
      <c r="F67" s="87"/>
      <c r="G67" s="9"/>
      <c r="H67" s="88"/>
      <c r="Q67" s="89"/>
      <c r="R67" s="4"/>
      <c r="S67" s="4"/>
      <c r="T67" s="4"/>
      <c r="U67" s="4"/>
      <c r="V67" s="4"/>
      <c r="W67" s="4"/>
      <c r="X67" s="4"/>
      <c r="Y67" s="4"/>
      <c r="Z67" s="4"/>
    </row>
    <row r="68" ht="15.75" customHeight="1">
      <c r="A68" s="87"/>
      <c r="B68" s="9"/>
      <c r="C68" s="87"/>
      <c r="D68" s="9"/>
      <c r="E68" s="86">
        <f t="shared" si="8"/>
        <v>0</v>
      </c>
      <c r="F68" s="87"/>
      <c r="G68" s="9"/>
      <c r="H68" s="88"/>
      <c r="Q68" s="89"/>
      <c r="R68" s="4"/>
      <c r="S68" s="4"/>
      <c r="T68" s="4"/>
      <c r="U68" s="4"/>
      <c r="V68" s="4"/>
      <c r="W68" s="4"/>
      <c r="X68" s="4"/>
      <c r="Y68" s="4"/>
      <c r="Z68" s="4"/>
    </row>
    <row r="69" ht="15.75" customHeight="1">
      <c r="A69" s="87"/>
      <c r="B69" s="9"/>
      <c r="C69" s="87"/>
      <c r="D69" s="9"/>
      <c r="E69" s="86">
        <f t="shared" si="8"/>
        <v>0</v>
      </c>
      <c r="F69" s="87"/>
      <c r="G69" s="9"/>
      <c r="H69" s="88"/>
      <c r="Q69" s="89"/>
      <c r="R69" s="4"/>
      <c r="S69" s="4"/>
      <c r="T69" s="4"/>
      <c r="U69" s="4"/>
      <c r="V69" s="4"/>
      <c r="W69" s="4"/>
      <c r="X69" s="4"/>
      <c r="Y69" s="4"/>
      <c r="Z69" s="4"/>
    </row>
    <row r="70" ht="15.75" customHeight="1">
      <c r="A70" s="87"/>
      <c r="B70" s="9"/>
      <c r="C70" s="87"/>
      <c r="D70" s="9"/>
      <c r="E70" s="86">
        <f t="shared" si="8"/>
        <v>0</v>
      </c>
      <c r="F70" s="87"/>
      <c r="G70" s="9"/>
      <c r="H70" s="88"/>
      <c r="Q70" s="89"/>
      <c r="R70" s="4"/>
      <c r="S70" s="4"/>
      <c r="T70" s="4"/>
      <c r="U70" s="4"/>
      <c r="V70" s="4"/>
      <c r="W70" s="4"/>
      <c r="X70" s="4"/>
      <c r="Y70" s="4"/>
      <c r="Z70" s="4"/>
    </row>
    <row r="71" ht="15.75" customHeight="1">
      <c r="A71" s="87"/>
      <c r="B71" s="9"/>
      <c r="C71" s="87"/>
      <c r="D71" s="9"/>
      <c r="E71" s="86">
        <f t="shared" si="8"/>
        <v>0</v>
      </c>
      <c r="F71" s="87"/>
      <c r="G71" s="9"/>
      <c r="H71" s="88"/>
      <c r="Q71" s="89"/>
      <c r="R71" s="4"/>
      <c r="S71" s="4"/>
      <c r="T71" s="4"/>
      <c r="U71" s="4"/>
      <c r="V71" s="4"/>
      <c r="W71" s="4"/>
      <c r="X71" s="4"/>
      <c r="Y71" s="4"/>
      <c r="Z71" s="4"/>
    </row>
    <row r="72" ht="15.75" customHeight="1">
      <c r="A72" s="87"/>
      <c r="B72" s="9"/>
      <c r="C72" s="87"/>
      <c r="D72" s="9"/>
      <c r="E72" s="86">
        <f t="shared" si="8"/>
        <v>0</v>
      </c>
      <c r="F72" s="87"/>
      <c r="G72" s="9"/>
      <c r="H72" s="88"/>
      <c r="Q72" s="89"/>
      <c r="R72" s="4"/>
      <c r="S72" s="4"/>
      <c r="T72" s="4"/>
      <c r="U72" s="4"/>
      <c r="V72" s="4"/>
      <c r="W72" s="4"/>
      <c r="X72" s="4"/>
      <c r="Y72" s="4"/>
      <c r="Z72" s="4"/>
    </row>
    <row r="73" ht="15.75" customHeight="1">
      <c r="A73" s="87"/>
      <c r="B73" s="9"/>
      <c r="C73" s="87"/>
      <c r="D73" s="9"/>
      <c r="E73" s="86">
        <f t="shared" si="8"/>
        <v>0</v>
      </c>
      <c r="F73" s="87"/>
      <c r="G73" s="9"/>
      <c r="H73" s="88"/>
      <c r="Q73" s="89"/>
      <c r="R73" s="4"/>
      <c r="S73" s="4"/>
      <c r="T73" s="4"/>
      <c r="U73" s="4"/>
      <c r="V73" s="4"/>
      <c r="W73" s="4"/>
      <c r="X73" s="4"/>
      <c r="Y73" s="4"/>
      <c r="Z73" s="4"/>
    </row>
    <row r="74" ht="15.75" customHeight="1">
      <c r="A74" s="87"/>
      <c r="B74" s="9"/>
      <c r="C74" s="87"/>
      <c r="D74" s="9"/>
      <c r="E74" s="86">
        <f t="shared" si="8"/>
        <v>0</v>
      </c>
      <c r="F74" s="87"/>
      <c r="G74" s="9"/>
      <c r="H74" s="88"/>
      <c r="Q74" s="89"/>
      <c r="R74" s="4"/>
      <c r="S74" s="4"/>
      <c r="T74" s="4"/>
      <c r="U74" s="4"/>
      <c r="V74" s="4"/>
      <c r="W74" s="4"/>
      <c r="X74" s="4"/>
      <c r="Y74" s="4"/>
      <c r="Z74" s="4"/>
    </row>
    <row r="75" ht="15.75" customHeight="1">
      <c r="A75" s="87"/>
      <c r="B75" s="9"/>
      <c r="C75" s="87"/>
      <c r="D75" s="9"/>
      <c r="E75" s="86">
        <f t="shared" si="8"/>
        <v>0</v>
      </c>
      <c r="F75" s="87"/>
      <c r="G75" s="9"/>
      <c r="H75" s="88"/>
      <c r="Q75" s="89"/>
      <c r="R75" s="4"/>
      <c r="S75" s="4"/>
      <c r="T75" s="4"/>
      <c r="U75" s="4"/>
      <c r="V75" s="4"/>
      <c r="W75" s="4"/>
      <c r="X75" s="4"/>
      <c r="Y75" s="4"/>
      <c r="Z75" s="4"/>
    </row>
    <row r="76" ht="15.75" customHeight="1">
      <c r="A76" s="87"/>
      <c r="B76" s="9"/>
      <c r="C76" s="87"/>
      <c r="D76" s="9"/>
      <c r="E76" s="86">
        <f t="shared" si="8"/>
        <v>0</v>
      </c>
      <c r="F76" s="87"/>
      <c r="G76" s="9"/>
      <c r="H76" s="88"/>
      <c r="Q76" s="89"/>
      <c r="R76" s="4"/>
      <c r="S76" s="4"/>
      <c r="T76" s="4"/>
      <c r="U76" s="4"/>
      <c r="V76" s="4"/>
      <c r="W76" s="4"/>
      <c r="X76" s="4"/>
      <c r="Y76" s="4"/>
      <c r="Z76" s="4"/>
    </row>
    <row r="77" ht="15.75" customHeight="1">
      <c r="A77" s="87"/>
      <c r="B77" s="9"/>
      <c r="C77" s="87"/>
      <c r="D77" s="9"/>
      <c r="E77" s="86">
        <f t="shared" si="8"/>
        <v>0</v>
      </c>
      <c r="F77" s="87"/>
      <c r="G77" s="9"/>
      <c r="H77" s="88"/>
      <c r="Q77" s="89"/>
      <c r="R77" s="4"/>
      <c r="S77" s="4"/>
      <c r="T77" s="4"/>
      <c r="U77" s="4"/>
      <c r="V77" s="4"/>
      <c r="W77" s="4"/>
      <c r="X77" s="4"/>
      <c r="Y77" s="4"/>
      <c r="Z77" s="4"/>
    </row>
    <row r="78" ht="15.75" customHeight="1">
      <c r="A78" s="87"/>
      <c r="B78" s="9"/>
      <c r="C78" s="87"/>
      <c r="D78" s="9"/>
      <c r="E78" s="86">
        <f t="shared" si="8"/>
        <v>0</v>
      </c>
      <c r="F78" s="87"/>
      <c r="G78" s="9"/>
      <c r="H78" s="88"/>
      <c r="Q78" s="89"/>
      <c r="R78" s="4"/>
      <c r="S78" s="4"/>
      <c r="T78" s="4"/>
      <c r="U78" s="4"/>
      <c r="V78" s="4"/>
      <c r="W78" s="4"/>
      <c r="X78" s="4"/>
      <c r="Y78" s="4"/>
      <c r="Z78" s="4"/>
    </row>
    <row r="79" ht="15.75" customHeight="1">
      <c r="A79" s="87"/>
      <c r="B79" s="9"/>
      <c r="C79" s="87"/>
      <c r="D79" s="9"/>
      <c r="E79" s="86">
        <f t="shared" si="8"/>
        <v>0</v>
      </c>
      <c r="F79" s="87"/>
      <c r="G79" s="9"/>
      <c r="H79" s="88"/>
      <c r="Q79" s="89"/>
      <c r="R79" s="4"/>
      <c r="S79" s="4"/>
      <c r="T79" s="4"/>
      <c r="U79" s="4"/>
      <c r="V79" s="4"/>
      <c r="W79" s="4"/>
      <c r="X79" s="4"/>
      <c r="Y79" s="4"/>
      <c r="Z79" s="4"/>
    </row>
    <row r="80" ht="15.75" customHeight="1">
      <c r="A80" s="81" t="s">
        <v>73</v>
      </c>
      <c r="B80" s="7"/>
      <c r="C80" s="7"/>
      <c r="D80" s="9"/>
      <c r="E80" s="86">
        <f>SUM(E56:E79)</f>
        <v>0</v>
      </c>
      <c r="F80" s="90"/>
      <c r="H80" s="91"/>
      <c r="I80" s="92"/>
      <c r="J80" s="92"/>
      <c r="K80" s="92"/>
      <c r="L80" s="92"/>
      <c r="M80" s="92"/>
      <c r="N80" s="92"/>
      <c r="O80" s="92"/>
      <c r="P80" s="92"/>
      <c r="Q80" s="93"/>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15.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15.7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ht="15.7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ht="15.7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ht="15.7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ht="15.7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ht="15.75" customHeight="1">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ht="15.75" customHeight="1">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ht="15.75" customHeight="1">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ht="15.75" customHeight="1">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ht="15.75" customHeight="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ht="15.75" customHeight="1">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ht="15.75" customHeight="1">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ht="15.75" customHeight="1">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ht="15.75" customHeight="1">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ht="15.75" customHeight="1">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sheetData>
  <mergeCells count="190">
    <mergeCell ref="A1:Q1"/>
    <mergeCell ref="B2:J2"/>
    <mergeCell ref="K2:Q2"/>
    <mergeCell ref="B3:J3"/>
    <mergeCell ref="B4:E4"/>
    <mergeCell ref="G4:J4"/>
    <mergeCell ref="D5:E5"/>
    <mergeCell ref="F5:G5"/>
    <mergeCell ref="H5:J5"/>
    <mergeCell ref="F6:J6"/>
    <mergeCell ref="H7:I7"/>
    <mergeCell ref="B10:D10"/>
    <mergeCell ref="E11:E12"/>
    <mergeCell ref="K11:L11"/>
    <mergeCell ref="B11:D11"/>
    <mergeCell ref="B12:D12"/>
    <mergeCell ref="B13:D13"/>
    <mergeCell ref="F13:Q13"/>
    <mergeCell ref="B14:D14"/>
    <mergeCell ref="F14:Q14"/>
    <mergeCell ref="A15:Q15"/>
    <mergeCell ref="B16:C16"/>
    <mergeCell ref="G16:Q16"/>
    <mergeCell ref="B17:C17"/>
    <mergeCell ref="G17:Q17"/>
    <mergeCell ref="B18:C18"/>
    <mergeCell ref="G18:Q18"/>
    <mergeCell ref="G19:Q19"/>
    <mergeCell ref="B19:C19"/>
    <mergeCell ref="B20:C20"/>
    <mergeCell ref="B21:C21"/>
    <mergeCell ref="B22:C22"/>
    <mergeCell ref="B23:C23"/>
    <mergeCell ref="B24:C24"/>
    <mergeCell ref="B25:C25"/>
    <mergeCell ref="G20:Q20"/>
    <mergeCell ref="G21:Q21"/>
    <mergeCell ref="G22:Q22"/>
    <mergeCell ref="G23:Q23"/>
    <mergeCell ref="G24:Q24"/>
    <mergeCell ref="G25:Q25"/>
    <mergeCell ref="G26:Q26"/>
    <mergeCell ref="G27:Q27"/>
    <mergeCell ref="G28:Q28"/>
    <mergeCell ref="G29:Q29"/>
    <mergeCell ref="G30:Q30"/>
    <mergeCell ref="G31:Q31"/>
    <mergeCell ref="G32:Q32"/>
    <mergeCell ref="G33:Q33"/>
    <mergeCell ref="F60:G60"/>
    <mergeCell ref="F61:G61"/>
    <mergeCell ref="A59:B59"/>
    <mergeCell ref="C59:D59"/>
    <mergeCell ref="F59:G59"/>
    <mergeCell ref="A60:B60"/>
    <mergeCell ref="C60:D60"/>
    <mergeCell ref="A61:B61"/>
    <mergeCell ref="C61:D61"/>
    <mergeCell ref="A62:B62"/>
    <mergeCell ref="C62:D62"/>
    <mergeCell ref="A63:B63"/>
    <mergeCell ref="C63:D63"/>
    <mergeCell ref="A64:B64"/>
    <mergeCell ref="C64:D64"/>
    <mergeCell ref="C65:D65"/>
    <mergeCell ref="A65:B65"/>
    <mergeCell ref="A66:B66"/>
    <mergeCell ref="A67:B67"/>
    <mergeCell ref="A68:B68"/>
    <mergeCell ref="C68:D68"/>
    <mergeCell ref="A69:B69"/>
    <mergeCell ref="C69:D69"/>
    <mergeCell ref="A73:B73"/>
    <mergeCell ref="A74:B74"/>
    <mergeCell ref="A75:B75"/>
    <mergeCell ref="A76:B76"/>
    <mergeCell ref="A77:B77"/>
    <mergeCell ref="A78:B78"/>
    <mergeCell ref="A79:B79"/>
    <mergeCell ref="C74:D74"/>
    <mergeCell ref="C75:D75"/>
    <mergeCell ref="C76:D76"/>
    <mergeCell ref="C77:D77"/>
    <mergeCell ref="C78:D78"/>
    <mergeCell ref="C79:D79"/>
    <mergeCell ref="A80:D80"/>
    <mergeCell ref="A70:B70"/>
    <mergeCell ref="C70:D70"/>
    <mergeCell ref="A71:B71"/>
    <mergeCell ref="C71:D71"/>
    <mergeCell ref="A72:B72"/>
    <mergeCell ref="C72:D72"/>
    <mergeCell ref="C73:D73"/>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A50:C50"/>
    <mergeCell ref="D50:D53"/>
    <mergeCell ref="B51:C51"/>
    <mergeCell ref="B52:C52"/>
    <mergeCell ref="B53:C53"/>
    <mergeCell ref="A54:G54"/>
    <mergeCell ref="A55:B55"/>
    <mergeCell ref="C55:D55"/>
    <mergeCell ref="F55:G55"/>
    <mergeCell ref="C56:D56"/>
    <mergeCell ref="F56:G56"/>
    <mergeCell ref="A56:B56"/>
    <mergeCell ref="A57:B57"/>
    <mergeCell ref="C57:D57"/>
    <mergeCell ref="F57:G57"/>
    <mergeCell ref="A58:B58"/>
    <mergeCell ref="C58:D58"/>
    <mergeCell ref="F58:G58"/>
    <mergeCell ref="C66:D66"/>
    <mergeCell ref="C67:D67"/>
    <mergeCell ref="F71:G71"/>
    <mergeCell ref="F72:G72"/>
    <mergeCell ref="F73:G73"/>
    <mergeCell ref="F74:G74"/>
    <mergeCell ref="F75:G75"/>
    <mergeCell ref="F76:G76"/>
    <mergeCell ref="F77:G77"/>
    <mergeCell ref="F78:G78"/>
    <mergeCell ref="F79:G79"/>
    <mergeCell ref="F80:G80"/>
    <mergeCell ref="H53:J53"/>
    <mergeCell ref="K53:M53"/>
    <mergeCell ref="H54:Q54"/>
    <mergeCell ref="H55:Q80"/>
    <mergeCell ref="F62:G62"/>
    <mergeCell ref="F63:G63"/>
    <mergeCell ref="F64:G64"/>
    <mergeCell ref="G34:Q34"/>
    <mergeCell ref="G35:Q35"/>
    <mergeCell ref="G36:Q36"/>
    <mergeCell ref="G37:Q37"/>
    <mergeCell ref="G38:Q38"/>
    <mergeCell ref="G39:Q39"/>
    <mergeCell ref="G40:Q40"/>
    <mergeCell ref="G41:Q41"/>
    <mergeCell ref="G42:Q42"/>
    <mergeCell ref="G43:Q43"/>
    <mergeCell ref="G44:Q44"/>
    <mergeCell ref="G45:Q45"/>
    <mergeCell ref="G46:Q46"/>
    <mergeCell ref="G47:Q47"/>
    <mergeCell ref="G48:Q48"/>
    <mergeCell ref="G49:Q49"/>
    <mergeCell ref="E50:G50"/>
    <mergeCell ref="H50:J50"/>
    <mergeCell ref="K50:M50"/>
    <mergeCell ref="N50:P50"/>
    <mergeCell ref="E51:G51"/>
    <mergeCell ref="N51:P51"/>
    <mergeCell ref="H51:J51"/>
    <mergeCell ref="K51:M51"/>
    <mergeCell ref="E52:G52"/>
    <mergeCell ref="H52:J52"/>
    <mergeCell ref="K52:M52"/>
    <mergeCell ref="N52:P52"/>
    <mergeCell ref="E53:G53"/>
    <mergeCell ref="N53:P53"/>
    <mergeCell ref="F65:G65"/>
    <mergeCell ref="F66:G66"/>
    <mergeCell ref="F67:G67"/>
    <mergeCell ref="F68:G68"/>
    <mergeCell ref="F69:G69"/>
    <mergeCell ref="F70:G70"/>
  </mergeCells>
  <conditionalFormatting sqref="E56:E79">
    <cfRule type="expression" dxfId="0" priority="1">
      <formula>IF(VLOOKUP($C56,INDIRECT($C$55&amp;"!$A:$D"),3,FALSE)="瘋狂",TRUE,FALSE)</formula>
    </cfRule>
  </conditionalFormatting>
  <dataValidations>
    <dataValidation type="list" allowBlank="1" showErrorMessage="1" sqref="B44">
      <formula1>'不完美的伊邪那歧'!$AB$2:$AB$52</formula1>
    </dataValidation>
    <dataValidation type="list" allowBlank="1" showErrorMessage="1" sqref="B29">
      <formula1>'不完美的伊邪那歧'!$M$2:$M$51</formula1>
    </dataValidation>
    <dataValidation type="list" allowBlank="1" showErrorMessage="1" sqref="B40">
      <formula1>'不完美的伊邪那歧'!$X$2:$X$51</formula1>
    </dataValidation>
    <dataValidation type="list" allowBlank="1" showErrorMessage="1" sqref="B18">
      <formula1>'不完美的伊邪那歧'!$B$2:$B$51</formula1>
    </dataValidation>
    <dataValidation type="list" allowBlank="1" showErrorMessage="1" sqref="B31">
      <formula1>'不完美的伊邪那歧'!$O$2:$O$51</formula1>
    </dataValidation>
    <dataValidation type="list" allowBlank="1" showErrorMessage="1" sqref="B17">
      <formula1>'不完美的伊邪那歧'!$A$2:$A$51</formula1>
    </dataValidation>
    <dataValidation type="list" allowBlank="1" showErrorMessage="1" sqref="B33">
      <formula1>'不完美的伊邪那歧'!$Q$2:$Q$51</formula1>
    </dataValidation>
    <dataValidation type="list" allowBlank="1" showErrorMessage="1" sqref="B51:B53">
      <formula1>'角色卡'!$B$17:$B$44</formula1>
    </dataValidation>
    <dataValidation type="list" allowBlank="1" showErrorMessage="1" sqref="B20">
      <formula1>'不完美的伊邪那歧'!$D$2:$D$51</formula1>
    </dataValidation>
    <dataValidation type="list" allowBlank="1" showErrorMessage="1" sqref="B23">
      <formula1>'不完美的伊邪那歧'!$G$2:$G$51</formula1>
    </dataValidation>
    <dataValidation type="list" allowBlank="1" showErrorMessage="1" sqref="B35">
      <formula1>'不完美的伊邪那歧'!$S$2:$S$51</formula1>
    </dataValidation>
    <dataValidation type="list" allowBlank="1" showErrorMessage="1" sqref="B43">
      <formula1>'不完美的伊邪那歧'!$AA$2:$AA$52</formula1>
    </dataValidation>
    <dataValidation type="list" allowBlank="1" showErrorMessage="1" sqref="B26">
      <formula1>'不完美的伊邪那歧'!$J$2:$J$51</formula1>
    </dataValidation>
    <dataValidation type="list" allowBlank="1" showErrorMessage="1" sqref="B37">
      <formula1>'不完美的伊邪那歧'!$U$2:$U$51</formula1>
    </dataValidation>
    <dataValidation type="list" allowBlank="1" showErrorMessage="1" sqref="B19">
      <formula1>'不完美的伊邪那歧'!$C$2:$C$51</formula1>
    </dataValidation>
    <dataValidation type="list" allowBlank="1" showErrorMessage="1" sqref="B28">
      <formula1>'不完美的伊邪那歧'!$L$2:$L$51</formula1>
    </dataValidation>
    <dataValidation type="list" allowBlank="1" showErrorMessage="1" sqref="B39">
      <formula1>'不完美的伊邪那歧'!$W$2:$W$51</formula1>
    </dataValidation>
    <dataValidation type="list" allowBlank="1" showErrorMessage="1" sqref="B21">
      <formula1>'不完美的伊邪那歧'!$E$2:$E$51</formula1>
    </dataValidation>
    <dataValidation type="list" allowBlank="1" showErrorMessage="1" sqref="B24">
      <formula1>'不完美的伊邪那歧'!$H$2:$H$51</formula1>
    </dataValidation>
    <dataValidation type="list" allowBlank="1" showErrorMessage="1" sqref="B30">
      <formula1>'不完美的伊邪那歧'!$N$2:$N$51</formula1>
    </dataValidation>
    <dataValidation type="list" allowBlank="1" showErrorMessage="1" sqref="B41">
      <formula1>'不完美的伊邪那歧'!$Y$2:$Y$51</formula1>
    </dataValidation>
    <dataValidation type="list" allowBlank="1" showErrorMessage="1" sqref="B36">
      <formula1>'不完美的伊邪那歧'!$T$2:$T$51</formula1>
    </dataValidation>
    <dataValidation type="list" allowBlank="1" showErrorMessage="1" sqref="B22">
      <formula1>'不完美的伊邪那歧'!$F$2:$F$51</formula1>
    </dataValidation>
    <dataValidation type="list" allowBlank="1" sqref="C56:C79">
      <formula1>感情</formula1>
    </dataValidation>
    <dataValidation type="list" allowBlank="1" showErrorMessage="1" sqref="B7:B9 A17:A49">
      <formula1>'級別一覽'!$A$2:$A$15</formula1>
    </dataValidation>
    <dataValidation type="list" allowBlank="1" showErrorMessage="1" sqref="B32">
      <formula1>'不完美的伊邪那歧'!$P$2:$P$51</formula1>
    </dataValidation>
    <dataValidation type="list" allowBlank="1" showErrorMessage="1" sqref="B25">
      <formula1>'不完美的伊邪那歧'!$I$2:$I$51</formula1>
    </dataValidation>
    <dataValidation type="list" allowBlank="1" showErrorMessage="1" sqref="B42 B45:B49">
      <formula1>'不完美的伊邪那歧'!$Z$2:$Z$52</formula1>
    </dataValidation>
    <dataValidation type="list" allowBlank="1" showErrorMessage="1" sqref="B27">
      <formula1>'不完美的伊邪那歧'!$K$2:$K$51</formula1>
    </dataValidation>
    <dataValidation type="list" allowBlank="1" showErrorMessage="1" sqref="B38">
      <formula1>'不完美的伊邪那歧'!$V$2:$V$51</formula1>
    </dataValidation>
    <dataValidation type="list" allowBlank="1" showErrorMessage="1" sqref="B10">
      <formula1>風格</formula1>
    </dataValidation>
    <dataValidation type="list" allowBlank="1" showErrorMessage="1" sqref="B34">
      <formula1>'不完美的伊邪那歧'!$R$2:$R$51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3.38"/>
    <col customWidth="1" min="2" max="26" width="7.63"/>
  </cols>
  <sheetData>
    <row r="1" ht="14.25" customHeight="1">
      <c r="A1" s="94" t="s">
        <v>70</v>
      </c>
      <c r="B1" s="95" t="s">
        <v>74</v>
      </c>
      <c r="C1" s="95" t="s">
        <v>75</v>
      </c>
      <c r="D1" s="95" t="s">
        <v>72</v>
      </c>
    </row>
    <row r="2" ht="14.25" customHeight="1">
      <c r="A2" s="95" t="s">
        <v>76</v>
      </c>
    </row>
    <row r="3" ht="14.25" customHeight="1">
      <c r="A3" s="95" t="s">
        <v>77</v>
      </c>
      <c r="B3" s="96">
        <v>4.0</v>
      </c>
      <c r="C3" s="95" t="s">
        <v>78</v>
      </c>
      <c r="D3" s="95" t="s">
        <v>79</v>
      </c>
    </row>
    <row r="4" ht="14.25" customHeight="1">
      <c r="A4" s="95" t="s">
        <v>80</v>
      </c>
      <c r="B4" s="96">
        <v>2.0</v>
      </c>
      <c r="C4" s="95" t="s">
        <v>81</v>
      </c>
      <c r="D4" s="95" t="s">
        <v>82</v>
      </c>
    </row>
    <row r="5" ht="14.25" customHeight="1">
      <c r="A5" s="95" t="s">
        <v>83</v>
      </c>
      <c r="B5" s="96">
        <v>2.0</v>
      </c>
      <c r="C5" s="95" t="s">
        <v>81</v>
      </c>
      <c r="D5" s="95" t="s">
        <v>84</v>
      </c>
    </row>
    <row r="6" ht="14.25" customHeight="1">
      <c r="A6" s="95" t="s">
        <v>85</v>
      </c>
      <c r="B6" s="96">
        <v>2.0</v>
      </c>
      <c r="C6" s="95" t="s">
        <v>81</v>
      </c>
      <c r="D6" s="95" t="s">
        <v>86</v>
      </c>
    </row>
    <row r="7" ht="14.25" customHeight="1">
      <c r="A7" s="95" t="s">
        <v>87</v>
      </c>
      <c r="B7" s="96">
        <v>2.0</v>
      </c>
      <c r="C7" s="95" t="s">
        <v>81</v>
      </c>
      <c r="D7" s="95" t="s">
        <v>88</v>
      </c>
    </row>
    <row r="8" ht="14.25" customHeight="1">
      <c r="A8" s="95" t="s">
        <v>89</v>
      </c>
      <c r="B8" s="96">
        <v>2.0</v>
      </c>
      <c r="C8" s="95" t="s">
        <v>81</v>
      </c>
      <c r="D8" s="95" t="s">
        <v>90</v>
      </c>
    </row>
    <row r="9" ht="14.25" customHeight="1">
      <c r="A9" s="95" t="s">
        <v>91</v>
      </c>
      <c r="B9" s="96">
        <v>4.0</v>
      </c>
      <c r="C9" s="95" t="s">
        <v>78</v>
      </c>
      <c r="D9" s="95" t="s">
        <v>92</v>
      </c>
    </row>
    <row r="10" ht="14.25" customHeight="1">
      <c r="A10" s="95" t="s">
        <v>93</v>
      </c>
      <c r="B10" s="96">
        <v>2.0</v>
      </c>
      <c r="C10" s="95" t="s">
        <v>81</v>
      </c>
      <c r="D10" s="95" t="s">
        <v>94</v>
      </c>
    </row>
    <row r="11" ht="14.25" customHeight="1">
      <c r="A11" s="95" t="s">
        <v>95</v>
      </c>
      <c r="B11" s="96">
        <v>2.0</v>
      </c>
      <c r="C11" s="95" t="s">
        <v>81</v>
      </c>
      <c r="D11" s="95" t="s">
        <v>96</v>
      </c>
    </row>
    <row r="12" ht="14.25" customHeight="1">
      <c r="A12" s="95" t="s">
        <v>97</v>
      </c>
      <c r="B12" s="96">
        <v>2.0</v>
      </c>
      <c r="C12" s="95" t="s">
        <v>81</v>
      </c>
      <c r="D12" s="95" t="s">
        <v>98</v>
      </c>
    </row>
    <row r="13" ht="14.25" customHeight="1">
      <c r="A13" s="95" t="s">
        <v>99</v>
      </c>
      <c r="B13" s="96">
        <v>2.0</v>
      </c>
      <c r="C13" s="95" t="s">
        <v>81</v>
      </c>
      <c r="D13" s="95" t="s">
        <v>100</v>
      </c>
    </row>
    <row r="14" ht="14.25" customHeight="1">
      <c r="A14" s="95" t="s">
        <v>101</v>
      </c>
      <c r="B14" s="96">
        <v>4.0</v>
      </c>
      <c r="C14" s="95" t="s">
        <v>78</v>
      </c>
      <c r="D14" s="95" t="s">
        <v>102</v>
      </c>
    </row>
    <row r="15" ht="14.25" customHeight="1">
      <c r="A15" s="95" t="s">
        <v>103</v>
      </c>
      <c r="B15" s="96">
        <v>2.0</v>
      </c>
      <c r="C15" s="95" t="s">
        <v>81</v>
      </c>
      <c r="D15" s="95" t="s">
        <v>104</v>
      </c>
    </row>
    <row r="16" ht="14.25" customHeight="1">
      <c r="A16" s="95" t="s">
        <v>105</v>
      </c>
      <c r="B16" s="96">
        <v>2.0</v>
      </c>
      <c r="C16" s="95" t="s">
        <v>81</v>
      </c>
      <c r="D16" s="95" t="s">
        <v>106</v>
      </c>
    </row>
    <row r="17" ht="14.25" customHeight="1">
      <c r="A17" s="95" t="s">
        <v>107</v>
      </c>
      <c r="B17" s="96">
        <v>2.0</v>
      </c>
      <c r="C17" s="95" t="s">
        <v>81</v>
      </c>
      <c r="D17" s="95" t="s">
        <v>108</v>
      </c>
    </row>
    <row r="18" ht="14.25" customHeight="1">
      <c r="A18" s="95" t="s">
        <v>109</v>
      </c>
      <c r="B18" s="96">
        <v>4.0</v>
      </c>
      <c r="C18" s="95" t="s">
        <v>78</v>
      </c>
      <c r="D18" s="95" t="s">
        <v>110</v>
      </c>
    </row>
    <row r="19" ht="14.25" customHeight="1">
      <c r="A19" s="95" t="s">
        <v>111</v>
      </c>
      <c r="B19" s="96">
        <v>2.0</v>
      </c>
      <c r="C19" s="95" t="s">
        <v>81</v>
      </c>
      <c r="D19" s="95" t="s">
        <v>112</v>
      </c>
    </row>
    <row r="20" ht="14.25" customHeight="1">
      <c r="A20" s="95" t="s">
        <v>113</v>
      </c>
      <c r="B20" s="96">
        <v>2.0</v>
      </c>
      <c r="C20" s="95" t="s">
        <v>81</v>
      </c>
      <c r="D20" s="95" t="s">
        <v>114</v>
      </c>
    </row>
    <row r="21" ht="14.25" customHeight="1">
      <c r="A21" s="95" t="s">
        <v>115</v>
      </c>
      <c r="B21" s="96">
        <v>4.0</v>
      </c>
      <c r="C21" s="95" t="s">
        <v>78</v>
      </c>
      <c r="D21" s="95" t="s">
        <v>116</v>
      </c>
    </row>
    <row r="22" ht="14.25" customHeight="1">
      <c r="A22" s="95" t="s">
        <v>117</v>
      </c>
      <c r="B22" s="96">
        <v>2.0</v>
      </c>
      <c r="C22" s="95" t="s">
        <v>81</v>
      </c>
      <c r="D22" s="95" t="s">
        <v>118</v>
      </c>
    </row>
    <row r="23" ht="14.25" customHeight="1">
      <c r="A23" s="95" t="s">
        <v>119</v>
      </c>
      <c r="B23" s="96">
        <v>4.0</v>
      </c>
      <c r="C23" s="95" t="s">
        <v>78</v>
      </c>
      <c r="D23" s="95" t="s">
        <v>120</v>
      </c>
    </row>
    <row r="24" ht="14.25" customHeight="1">
      <c r="A24" s="95"/>
      <c r="D24" s="95"/>
    </row>
    <row r="25" ht="14.25" customHeight="1">
      <c r="A25" s="95" t="s">
        <v>121</v>
      </c>
    </row>
    <row r="26" ht="14.25" customHeight="1">
      <c r="A26" s="95" t="s">
        <v>122</v>
      </c>
      <c r="B26" s="96">
        <v>2.0</v>
      </c>
      <c r="C26" s="95" t="s">
        <v>81</v>
      </c>
      <c r="D26" s="95" t="s">
        <v>123</v>
      </c>
    </row>
    <row r="27" ht="14.25" customHeight="1">
      <c r="A27" s="95" t="s">
        <v>124</v>
      </c>
      <c r="B27" s="96">
        <v>2.0</v>
      </c>
      <c r="C27" s="95" t="s">
        <v>81</v>
      </c>
      <c r="D27" s="95" t="s">
        <v>125</v>
      </c>
    </row>
    <row r="28" ht="14.25" customHeight="1">
      <c r="A28" s="95" t="s">
        <v>126</v>
      </c>
      <c r="B28" s="96">
        <v>8.0</v>
      </c>
      <c r="C28" s="95" t="s">
        <v>81</v>
      </c>
      <c r="D28" s="95" t="s">
        <v>127</v>
      </c>
    </row>
    <row r="29" ht="14.25" customHeight="1">
      <c r="A29" s="95" t="s">
        <v>128</v>
      </c>
      <c r="B29" s="96">
        <v>4.0</v>
      </c>
      <c r="C29" s="95" t="s">
        <v>78</v>
      </c>
      <c r="D29" s="95" t="s">
        <v>129</v>
      </c>
    </row>
    <row r="30" ht="14.25" customHeight="1">
      <c r="A30" s="95" t="s">
        <v>130</v>
      </c>
      <c r="B30" s="96">
        <v>4.0</v>
      </c>
      <c r="C30" s="95" t="s">
        <v>78</v>
      </c>
      <c r="D30" s="95" t="s">
        <v>131</v>
      </c>
    </row>
    <row r="31" ht="14.25" customHeight="1">
      <c r="A31" s="95" t="s">
        <v>132</v>
      </c>
      <c r="B31" s="96">
        <v>4.0</v>
      </c>
      <c r="C31" s="95" t="s">
        <v>78</v>
      </c>
      <c r="D31" s="95" t="s">
        <v>133</v>
      </c>
    </row>
    <row r="32" ht="14.25" customHeight="1">
      <c r="A32" s="95" t="s">
        <v>134</v>
      </c>
      <c r="B32" s="96">
        <v>4.0</v>
      </c>
      <c r="C32" s="95" t="s">
        <v>78</v>
      </c>
      <c r="D32" s="95" t="s">
        <v>135</v>
      </c>
    </row>
    <row r="33" ht="14.25" customHeight="1">
      <c r="A33" s="95" t="s">
        <v>136</v>
      </c>
      <c r="B33" s="96">
        <v>4.0</v>
      </c>
      <c r="C33" s="95" t="s">
        <v>78</v>
      </c>
      <c r="D33" s="95" t="s">
        <v>137</v>
      </c>
    </row>
    <row r="34" ht="14.25" customHeight="1">
      <c r="A34" s="95" t="s">
        <v>138</v>
      </c>
      <c r="B34" s="96">
        <v>4.0</v>
      </c>
      <c r="C34" s="95" t="s">
        <v>78</v>
      </c>
      <c r="D34" s="95" t="s">
        <v>139</v>
      </c>
    </row>
    <row r="35" ht="14.25" customHeight="1">
      <c r="A35" s="95" t="s">
        <v>140</v>
      </c>
      <c r="B35" s="96">
        <v>4.0</v>
      </c>
      <c r="C35" s="95" t="s">
        <v>78</v>
      </c>
      <c r="D35" s="95" t="s">
        <v>141</v>
      </c>
    </row>
    <row r="36" ht="14.25" customHeight="1">
      <c r="A36" s="95" t="s">
        <v>142</v>
      </c>
      <c r="B36" s="96">
        <v>4.0</v>
      </c>
      <c r="C36" s="95" t="s">
        <v>78</v>
      </c>
      <c r="D36" s="95" t="s">
        <v>143</v>
      </c>
    </row>
    <row r="37" ht="14.25" customHeight="1">
      <c r="A37" s="95" t="s">
        <v>144</v>
      </c>
      <c r="B37" s="96">
        <v>4.0</v>
      </c>
      <c r="C37" s="95" t="s">
        <v>78</v>
      </c>
      <c r="D37" s="95" t="s">
        <v>145</v>
      </c>
    </row>
    <row r="38" ht="14.25" customHeight="1">
      <c r="A38" s="95" t="s">
        <v>146</v>
      </c>
      <c r="B38" s="96">
        <v>4.0</v>
      </c>
      <c r="C38" s="95" t="s">
        <v>78</v>
      </c>
      <c r="D38" s="95" t="s">
        <v>147</v>
      </c>
    </row>
    <row r="39" ht="14.25" customHeight="1">
      <c r="A39" s="95" t="s">
        <v>148</v>
      </c>
      <c r="B39" s="96">
        <v>4.0</v>
      </c>
      <c r="C39" s="95" t="s">
        <v>78</v>
      </c>
      <c r="D39" s="95" t="s">
        <v>149</v>
      </c>
    </row>
    <row r="40" ht="14.25" customHeight="1">
      <c r="A40" s="95" t="s">
        <v>150</v>
      </c>
      <c r="B40" s="96">
        <v>4.0</v>
      </c>
      <c r="C40" s="95" t="s">
        <v>78</v>
      </c>
      <c r="D40" s="95" t="s">
        <v>151</v>
      </c>
    </row>
    <row r="41" ht="14.25" customHeight="1">
      <c r="A41" s="95" t="s">
        <v>152</v>
      </c>
      <c r="B41" s="96">
        <v>4.0</v>
      </c>
      <c r="C41" s="95" t="s">
        <v>78</v>
      </c>
      <c r="D41" s="95" t="s">
        <v>153</v>
      </c>
    </row>
    <row r="42" ht="14.25" customHeight="1">
      <c r="A42" s="95" t="s">
        <v>154</v>
      </c>
      <c r="B42" s="96">
        <v>4.0</v>
      </c>
      <c r="C42" s="95" t="s">
        <v>78</v>
      </c>
      <c r="D42" s="95" t="s">
        <v>155</v>
      </c>
    </row>
    <row r="43" ht="14.25" customHeight="1">
      <c r="A43" s="95" t="s">
        <v>156</v>
      </c>
      <c r="B43" s="96">
        <v>4.0</v>
      </c>
      <c r="C43" s="95" t="s">
        <v>78</v>
      </c>
      <c r="D43" s="95" t="s">
        <v>157</v>
      </c>
    </row>
    <row r="44" ht="14.25" customHeight="1">
      <c r="A44" s="95" t="s">
        <v>158</v>
      </c>
      <c r="B44" s="96">
        <v>4.0</v>
      </c>
      <c r="C44" s="95" t="s">
        <v>78</v>
      </c>
      <c r="D44" s="95" t="s">
        <v>159</v>
      </c>
    </row>
    <row r="45" ht="14.25" customHeight="1">
      <c r="A45" s="95" t="s">
        <v>160</v>
      </c>
      <c r="B45" s="96">
        <v>4.0</v>
      </c>
      <c r="C45" s="95" t="s">
        <v>78</v>
      </c>
      <c r="D45" s="95" t="s">
        <v>161</v>
      </c>
    </row>
    <row r="46" ht="14.25" customHeight="1">
      <c r="A46" s="95" t="s">
        <v>162</v>
      </c>
      <c r="B46" s="96">
        <v>4.0</v>
      </c>
      <c r="C46" s="95" t="s">
        <v>78</v>
      </c>
      <c r="D46" s="95" t="s">
        <v>163</v>
      </c>
    </row>
    <row r="47" ht="14.25" customHeight="1">
      <c r="A47" s="95" t="s">
        <v>164</v>
      </c>
      <c r="B47" s="96">
        <v>4.0</v>
      </c>
      <c r="C47" s="95" t="s">
        <v>78</v>
      </c>
      <c r="D47" s="95" t="s">
        <v>165</v>
      </c>
    </row>
    <row r="48" ht="14.25" customHeight="1">
      <c r="A48" s="95" t="s">
        <v>166</v>
      </c>
      <c r="B48" s="96">
        <v>4.0</v>
      </c>
      <c r="C48" s="95" t="s">
        <v>78</v>
      </c>
      <c r="D48" s="95" t="s">
        <v>167</v>
      </c>
    </row>
    <row r="49" ht="14.25" customHeight="1">
      <c r="A49" s="95" t="s">
        <v>168</v>
      </c>
      <c r="B49" s="96">
        <v>4.0</v>
      </c>
      <c r="C49" s="95" t="s">
        <v>78</v>
      </c>
      <c r="D49" s="95" t="s">
        <v>169</v>
      </c>
    </row>
    <row r="50" ht="12.75" customHeight="1">
      <c r="A50" s="96"/>
    </row>
    <row r="51" ht="12.75" customHeight="1">
      <c r="A51" s="96"/>
    </row>
    <row r="52" ht="12.75" customHeight="1">
      <c r="A52" s="96"/>
    </row>
    <row r="53" ht="12.75" customHeight="1">
      <c r="A53" s="96"/>
    </row>
    <row r="54" ht="12.75" customHeight="1">
      <c r="A54" s="96"/>
    </row>
    <row r="55" ht="12.75" customHeight="1">
      <c r="A55" s="96"/>
    </row>
    <row r="56" ht="12.75" customHeight="1">
      <c r="A56" s="96"/>
    </row>
    <row r="57" ht="12.75" customHeight="1">
      <c r="A57" s="96"/>
    </row>
    <row r="58" ht="12.75" customHeight="1">
      <c r="A58" s="96"/>
    </row>
    <row r="59" ht="12.75" customHeight="1">
      <c r="A59" s="96"/>
    </row>
    <row r="60" ht="12.75" customHeight="1">
      <c r="A60" s="96"/>
    </row>
    <row r="61" ht="12.75" customHeight="1">
      <c r="A61" s="96"/>
    </row>
    <row r="62" ht="12.75" customHeight="1">
      <c r="A62" s="96"/>
    </row>
    <row r="63" ht="12.75" customHeight="1">
      <c r="A63" s="96"/>
    </row>
    <row r="64" ht="12.75" customHeight="1">
      <c r="A64" s="96"/>
    </row>
    <row r="65" ht="12.75" customHeight="1">
      <c r="A65" s="96"/>
    </row>
    <row r="66" ht="12.75" customHeight="1">
      <c r="A66" s="96"/>
    </row>
    <row r="67" ht="12.75" customHeight="1">
      <c r="A67" s="96"/>
    </row>
    <row r="68" ht="12.75" customHeight="1">
      <c r="A68" s="96"/>
    </row>
    <row r="69" ht="12.75" customHeight="1">
      <c r="A69" s="96"/>
    </row>
    <row r="70" ht="12.75" customHeight="1">
      <c r="A70" s="96"/>
    </row>
    <row r="71" ht="12.75" customHeight="1">
      <c r="A71" s="96"/>
    </row>
    <row r="72" ht="12.75" customHeight="1">
      <c r="A72" s="96"/>
    </row>
    <row r="73" ht="12.75" customHeight="1">
      <c r="A73" s="96"/>
    </row>
    <row r="74" ht="12.75" customHeight="1">
      <c r="A74" s="96"/>
    </row>
    <row r="75" ht="12.75" customHeight="1">
      <c r="A75" s="96"/>
    </row>
    <row r="76" ht="12.75" customHeight="1">
      <c r="A76" s="96"/>
    </row>
    <row r="77" ht="12.75" customHeight="1">
      <c r="A77" s="96"/>
    </row>
    <row r="78" ht="12.75" customHeight="1">
      <c r="A78" s="96"/>
    </row>
    <row r="79" ht="12.75" customHeight="1">
      <c r="A79" s="96"/>
    </row>
    <row r="80" ht="12.75" customHeight="1">
      <c r="A80" s="96"/>
    </row>
    <row r="81" ht="12.75" customHeight="1">
      <c r="A81" s="96"/>
    </row>
    <row r="82" ht="12.75" customHeight="1">
      <c r="A82" s="96"/>
    </row>
    <row r="83" ht="12.75" customHeight="1">
      <c r="A83" s="96"/>
    </row>
    <row r="84" ht="12.75" customHeight="1">
      <c r="A84" s="96"/>
    </row>
    <row r="85" ht="12.75" customHeight="1">
      <c r="A85" s="96"/>
    </row>
    <row r="86" ht="12.75" customHeight="1">
      <c r="A86" s="96"/>
    </row>
    <row r="87" ht="12.75" customHeight="1">
      <c r="A87" s="96"/>
    </row>
    <row r="88" ht="12.75" customHeight="1">
      <c r="A88" s="96"/>
    </row>
    <row r="89" ht="12.75" customHeight="1">
      <c r="A89" s="96"/>
    </row>
    <row r="90" ht="12.75" customHeight="1">
      <c r="A90" s="96"/>
    </row>
    <row r="91" ht="12.75" customHeight="1">
      <c r="A91" s="96"/>
    </row>
    <row r="92" ht="12.75" customHeight="1">
      <c r="A92" s="96"/>
    </row>
    <row r="93" ht="12.75" customHeight="1">
      <c r="A93" s="96"/>
    </row>
    <row r="94" ht="12.75" customHeight="1">
      <c r="A94" s="96"/>
    </row>
    <row r="95" ht="12.75" customHeight="1">
      <c r="A95" s="96"/>
    </row>
    <row r="96" ht="12.75" customHeight="1">
      <c r="A96" s="96"/>
    </row>
    <row r="97" ht="12.75" customHeight="1">
      <c r="A97" s="96"/>
    </row>
    <row r="98" ht="12.75" customHeight="1">
      <c r="A98" s="96"/>
    </row>
    <row r="99" ht="12.75" customHeight="1">
      <c r="A99" s="96"/>
    </row>
    <row r="100" ht="12.75" customHeight="1">
      <c r="A100" s="96"/>
    </row>
    <row r="101" ht="12.75" customHeight="1">
      <c r="A101" s="96"/>
    </row>
    <row r="102" ht="12.75" customHeight="1">
      <c r="A102" s="96"/>
    </row>
    <row r="103" ht="12.75" customHeight="1">
      <c r="A103" s="96"/>
    </row>
    <row r="104" ht="12.75" customHeight="1">
      <c r="A104" s="96"/>
    </row>
    <row r="105" ht="12.75" customHeight="1">
      <c r="A105" s="96"/>
    </row>
    <row r="106" ht="12.75" customHeight="1">
      <c r="A106" s="96"/>
    </row>
    <row r="107" ht="12.75" customHeight="1">
      <c r="A107" s="96"/>
    </row>
    <row r="108" ht="12.75" customHeight="1">
      <c r="A108" s="96"/>
    </row>
    <row r="109" ht="12.75" customHeight="1">
      <c r="A109" s="96"/>
    </row>
    <row r="110" ht="12.75" customHeight="1">
      <c r="A110" s="96"/>
    </row>
    <row r="111" ht="12.75" customHeight="1">
      <c r="A111" s="96"/>
    </row>
    <row r="112" ht="12.75" customHeight="1">
      <c r="A112" s="96"/>
    </row>
    <row r="113" ht="12.75" customHeight="1">
      <c r="A113" s="96"/>
    </row>
    <row r="114" ht="12.75" customHeight="1">
      <c r="A114" s="96"/>
    </row>
    <row r="115" ht="12.75" customHeight="1">
      <c r="A115" s="96"/>
    </row>
    <row r="116" ht="12.75" customHeight="1">
      <c r="A116" s="96"/>
    </row>
    <row r="117" ht="12.75" customHeight="1">
      <c r="A117" s="96"/>
    </row>
    <row r="118" ht="12.75" customHeight="1">
      <c r="A118" s="96"/>
    </row>
    <row r="119" ht="12.75" customHeight="1">
      <c r="A119" s="96"/>
    </row>
    <row r="120" ht="12.75" customHeight="1">
      <c r="A120" s="96"/>
    </row>
    <row r="121" ht="12.75" customHeight="1">
      <c r="A121" s="96"/>
    </row>
    <row r="122" ht="12.75" customHeight="1">
      <c r="A122" s="96"/>
    </row>
    <row r="123" ht="12.75" customHeight="1">
      <c r="A123" s="96"/>
    </row>
    <row r="124" ht="12.75" customHeight="1">
      <c r="A124" s="96"/>
    </row>
    <row r="125" ht="12.75" customHeight="1">
      <c r="A125" s="96"/>
    </row>
    <row r="126" ht="12.75" customHeight="1">
      <c r="A126" s="96"/>
    </row>
    <row r="127" ht="12.75" customHeight="1">
      <c r="A127" s="96"/>
    </row>
    <row r="128" ht="12.75" customHeight="1">
      <c r="A128" s="96"/>
    </row>
    <row r="129" ht="12.75" customHeight="1">
      <c r="A129" s="96"/>
    </row>
    <row r="130" ht="12.75" customHeight="1">
      <c r="A130" s="96"/>
    </row>
    <row r="131" ht="12.75" customHeight="1">
      <c r="A131" s="96"/>
    </row>
    <row r="132" ht="12.75" customHeight="1">
      <c r="A132" s="96"/>
    </row>
    <row r="133" ht="12.75" customHeight="1">
      <c r="A133" s="96"/>
    </row>
    <row r="134" ht="12.75" customHeight="1">
      <c r="A134" s="96"/>
    </row>
    <row r="135" ht="12.75" customHeight="1">
      <c r="A135" s="96"/>
    </row>
    <row r="136" ht="12.75" customHeight="1">
      <c r="A136" s="96"/>
    </row>
    <row r="137" ht="12.75" customHeight="1">
      <c r="A137" s="96"/>
    </row>
    <row r="138" ht="12.75" customHeight="1">
      <c r="A138" s="96"/>
    </row>
    <row r="139" ht="12.75" customHeight="1">
      <c r="A139" s="96"/>
    </row>
    <row r="140" ht="12.75" customHeight="1">
      <c r="A140" s="96"/>
    </row>
    <row r="141" ht="12.75" customHeight="1">
      <c r="A141" s="96"/>
    </row>
    <row r="142" ht="12.75" customHeight="1">
      <c r="A142" s="96"/>
    </row>
    <row r="143" ht="12.75" customHeight="1">
      <c r="A143" s="96"/>
    </row>
    <row r="144" ht="12.75" customHeight="1">
      <c r="A144" s="96"/>
    </row>
    <row r="145" ht="12.75" customHeight="1">
      <c r="A145" s="96"/>
    </row>
    <row r="146" ht="12.75" customHeight="1">
      <c r="A146" s="96"/>
    </row>
    <row r="147" ht="12.75" customHeight="1">
      <c r="A147" s="96"/>
    </row>
    <row r="148" ht="12.75" customHeight="1">
      <c r="A148" s="96"/>
    </row>
    <row r="149" ht="12.75" customHeight="1">
      <c r="A149" s="96"/>
    </row>
    <row r="150" ht="12.75" customHeight="1">
      <c r="A150" s="96"/>
    </row>
    <row r="151" ht="12.75" customHeight="1">
      <c r="A151" s="96"/>
    </row>
    <row r="152" ht="12.75" customHeight="1">
      <c r="A152" s="96"/>
    </row>
    <row r="153" ht="12.75" customHeight="1">
      <c r="A153" s="96"/>
    </row>
    <row r="154" ht="12.75" customHeight="1">
      <c r="A154" s="96"/>
    </row>
    <row r="155" ht="12.75" customHeight="1">
      <c r="A155" s="96"/>
    </row>
    <row r="156" ht="12.75" customHeight="1">
      <c r="A156" s="96"/>
    </row>
    <row r="157" ht="12.75" customHeight="1">
      <c r="A157" s="96"/>
    </row>
    <row r="158" ht="12.75" customHeight="1">
      <c r="A158" s="96"/>
    </row>
    <row r="159" ht="12.75" customHeight="1">
      <c r="A159" s="96"/>
    </row>
    <row r="160" ht="12.75" customHeight="1">
      <c r="A160" s="96"/>
    </row>
    <row r="161" ht="12.75" customHeight="1">
      <c r="A161" s="96"/>
    </row>
    <row r="162" ht="12.75" customHeight="1">
      <c r="A162" s="96"/>
    </row>
    <row r="163" ht="12.75" customHeight="1">
      <c r="A163" s="96"/>
    </row>
    <row r="164" ht="12.75" customHeight="1">
      <c r="A164" s="96"/>
    </row>
    <row r="165" ht="12.75" customHeight="1">
      <c r="A165" s="96"/>
    </row>
    <row r="166" ht="12.75" customHeight="1">
      <c r="A166" s="96"/>
    </row>
    <row r="167" ht="12.75" customHeight="1">
      <c r="A167" s="96"/>
    </row>
    <row r="168" ht="12.75" customHeight="1">
      <c r="A168" s="96"/>
    </row>
    <row r="169" ht="12.75" customHeight="1">
      <c r="A169" s="96"/>
    </row>
    <row r="170" ht="12.75" customHeight="1">
      <c r="A170" s="96"/>
    </row>
    <row r="171" ht="12.75" customHeight="1">
      <c r="A171" s="96"/>
    </row>
    <row r="172" ht="12.75" customHeight="1">
      <c r="A172" s="96"/>
    </row>
    <row r="173" ht="12.75" customHeight="1">
      <c r="A173" s="96"/>
    </row>
    <row r="174" ht="12.75" customHeight="1">
      <c r="A174" s="96"/>
    </row>
    <row r="175" ht="12.75" customHeight="1">
      <c r="A175" s="96"/>
    </row>
    <row r="176" ht="12.75" customHeight="1">
      <c r="A176" s="96"/>
    </row>
    <row r="177" ht="12.75" customHeight="1">
      <c r="A177" s="96"/>
    </row>
    <row r="178" ht="12.75" customHeight="1">
      <c r="A178" s="96"/>
    </row>
    <row r="179" ht="12.75" customHeight="1">
      <c r="A179" s="96"/>
    </row>
    <row r="180" ht="12.75" customHeight="1">
      <c r="A180" s="96"/>
    </row>
    <row r="181" ht="12.75" customHeight="1">
      <c r="A181" s="96"/>
    </row>
    <row r="182" ht="12.75" customHeight="1">
      <c r="A182" s="96"/>
    </row>
    <row r="183" ht="12.75" customHeight="1">
      <c r="A183" s="96"/>
    </row>
    <row r="184" ht="12.75" customHeight="1">
      <c r="A184" s="96"/>
    </row>
    <row r="185" ht="12.75" customHeight="1">
      <c r="A185" s="96"/>
    </row>
    <row r="186" ht="12.75" customHeight="1">
      <c r="A186" s="96"/>
    </row>
    <row r="187" ht="12.75" customHeight="1">
      <c r="A187" s="96"/>
    </row>
    <row r="188" ht="12.75" customHeight="1">
      <c r="A188" s="96"/>
    </row>
    <row r="189" ht="12.75" customHeight="1">
      <c r="A189" s="96"/>
    </row>
    <row r="190" ht="12.75" customHeight="1">
      <c r="A190" s="96"/>
    </row>
    <row r="191" ht="12.75" customHeight="1">
      <c r="A191" s="96"/>
    </row>
    <row r="192" ht="12.75" customHeight="1">
      <c r="A192" s="96"/>
    </row>
    <row r="193" ht="12.75" customHeight="1">
      <c r="A193" s="96"/>
    </row>
    <row r="194" ht="12.75" customHeight="1">
      <c r="A194" s="96"/>
    </row>
    <row r="195" ht="12.75" customHeight="1">
      <c r="A195" s="96"/>
    </row>
    <row r="196" ht="12.75" customHeight="1">
      <c r="A196" s="96"/>
    </row>
    <row r="197" ht="12.75" customHeight="1">
      <c r="A197" s="96"/>
    </row>
    <row r="198" ht="12.75" customHeight="1">
      <c r="A198" s="96"/>
    </row>
    <row r="199" ht="12.75" customHeight="1">
      <c r="A199" s="96"/>
    </row>
    <row r="200" ht="12.75" customHeight="1">
      <c r="A200" s="96"/>
    </row>
    <row r="201" ht="12.75" customHeight="1">
      <c r="A201" s="96"/>
    </row>
    <row r="202" ht="12.75" customHeight="1">
      <c r="A202" s="96"/>
    </row>
    <row r="203" ht="12.75" customHeight="1">
      <c r="A203" s="96"/>
    </row>
    <row r="204" ht="12.75" customHeight="1">
      <c r="A204" s="96"/>
    </row>
    <row r="205" ht="12.75" customHeight="1">
      <c r="A205" s="96"/>
    </row>
    <row r="206" ht="12.75" customHeight="1">
      <c r="A206" s="96"/>
    </row>
    <row r="207" ht="12.75" customHeight="1">
      <c r="A207" s="96"/>
    </row>
    <row r="208" ht="12.75" customHeight="1">
      <c r="A208" s="96"/>
    </row>
    <row r="209" ht="12.75" customHeight="1">
      <c r="A209" s="96"/>
    </row>
    <row r="210" ht="12.75" customHeight="1">
      <c r="A210" s="96"/>
    </row>
    <row r="211" ht="12.75" customHeight="1">
      <c r="A211" s="96"/>
    </row>
    <row r="212" ht="12.75" customHeight="1">
      <c r="A212" s="96"/>
    </row>
    <row r="213" ht="12.75" customHeight="1">
      <c r="A213" s="96"/>
    </row>
    <row r="214" ht="12.75" customHeight="1">
      <c r="A214" s="96"/>
    </row>
    <row r="215" ht="12.75" customHeight="1">
      <c r="A215" s="96"/>
    </row>
    <row r="216" ht="12.75" customHeight="1">
      <c r="A216" s="96"/>
    </row>
    <row r="217" ht="12.75" customHeight="1">
      <c r="A217" s="96"/>
    </row>
    <row r="218" ht="12.75" customHeight="1">
      <c r="A218" s="96"/>
    </row>
    <row r="219" ht="12.75" customHeight="1">
      <c r="A219" s="96"/>
    </row>
    <row r="220" ht="12.75" customHeight="1">
      <c r="A220" s="96"/>
    </row>
    <row r="221" ht="12.75" customHeight="1">
      <c r="A221" s="96"/>
    </row>
    <row r="222" ht="12.75" customHeight="1">
      <c r="A222" s="96"/>
    </row>
    <row r="223" ht="12.75" customHeight="1">
      <c r="A223" s="96"/>
    </row>
    <row r="224" ht="12.75" customHeight="1">
      <c r="A224" s="96"/>
    </row>
    <row r="225" ht="12.75" customHeight="1">
      <c r="A225" s="96"/>
    </row>
    <row r="226" ht="12.75" customHeight="1">
      <c r="A226" s="96"/>
    </row>
    <row r="227" ht="12.75" customHeight="1">
      <c r="A227" s="96"/>
    </row>
    <row r="228" ht="12.75" customHeight="1">
      <c r="A228" s="96"/>
    </row>
    <row r="229" ht="12.75" customHeight="1">
      <c r="A229" s="96"/>
    </row>
    <row r="230" ht="12.75" customHeight="1">
      <c r="A230" s="96"/>
    </row>
    <row r="231" ht="12.75" customHeight="1">
      <c r="A231" s="96"/>
    </row>
    <row r="232" ht="12.75" customHeight="1">
      <c r="A232" s="96"/>
    </row>
    <row r="233" ht="12.75" customHeight="1">
      <c r="A233" s="96"/>
    </row>
    <row r="234" ht="12.75" customHeight="1">
      <c r="A234" s="96"/>
    </row>
    <row r="235" ht="12.75" customHeight="1">
      <c r="A235" s="96"/>
    </row>
    <row r="236" ht="12.75" customHeight="1">
      <c r="A236" s="96"/>
    </row>
    <row r="237" ht="12.75" customHeight="1">
      <c r="A237" s="96"/>
    </row>
    <row r="238" ht="12.75" customHeight="1">
      <c r="A238" s="96"/>
    </row>
    <row r="239" ht="12.75" customHeight="1">
      <c r="A239" s="96"/>
    </row>
    <row r="240" ht="12.75" customHeight="1">
      <c r="A240" s="96"/>
    </row>
    <row r="241" ht="12.75" customHeight="1">
      <c r="A241" s="96"/>
    </row>
    <row r="242" ht="12.75" customHeight="1">
      <c r="A242" s="96"/>
    </row>
    <row r="243" ht="12.75" customHeight="1">
      <c r="A243" s="96"/>
    </row>
    <row r="244" ht="12.75" customHeight="1">
      <c r="A244" s="96"/>
    </row>
    <row r="245" ht="12.75" customHeight="1">
      <c r="A245" s="96"/>
    </row>
    <row r="246" ht="12.75" customHeight="1">
      <c r="A246" s="96"/>
    </row>
    <row r="247" ht="12.75" customHeight="1">
      <c r="A247" s="96"/>
    </row>
    <row r="248" ht="12.75" customHeight="1">
      <c r="A248" s="96"/>
    </row>
    <row r="249" ht="12.75" customHeight="1">
      <c r="A249" s="96"/>
    </row>
    <row r="250" ht="12.75" customHeight="1">
      <c r="A250" s="96"/>
    </row>
    <row r="251" ht="12.75" customHeight="1">
      <c r="A251" s="96"/>
    </row>
    <row r="252" ht="12.75" customHeight="1">
      <c r="A252" s="96"/>
    </row>
    <row r="253" ht="12.75" customHeight="1">
      <c r="A253" s="96"/>
    </row>
    <row r="254" ht="12.75" customHeight="1">
      <c r="A254" s="96"/>
    </row>
    <row r="255" ht="12.75" customHeight="1">
      <c r="A255" s="96"/>
    </row>
    <row r="256" ht="12.75" customHeight="1">
      <c r="A256" s="96"/>
    </row>
    <row r="257" ht="12.75" customHeight="1">
      <c r="A257" s="96"/>
    </row>
    <row r="258" ht="12.75" customHeight="1">
      <c r="A258" s="96"/>
    </row>
    <row r="259" ht="12.75" customHeight="1">
      <c r="A259" s="96"/>
    </row>
    <row r="260" ht="12.75" customHeight="1">
      <c r="A260" s="96"/>
    </row>
    <row r="261" ht="12.75" customHeight="1">
      <c r="A261" s="96"/>
    </row>
    <row r="262" ht="12.75" customHeight="1">
      <c r="A262" s="96"/>
    </row>
    <row r="263" ht="12.75" customHeight="1">
      <c r="A263" s="96"/>
    </row>
    <row r="264" ht="12.75" customHeight="1">
      <c r="A264" s="96"/>
    </row>
    <row r="265" ht="12.75" customHeight="1">
      <c r="A265" s="96"/>
    </row>
    <row r="266" ht="12.75" customHeight="1">
      <c r="A266" s="96"/>
    </row>
    <row r="267" ht="12.75" customHeight="1">
      <c r="A267" s="96"/>
    </row>
    <row r="268" ht="12.75" customHeight="1">
      <c r="A268" s="96"/>
    </row>
    <row r="269" ht="12.75" customHeight="1">
      <c r="A269" s="96"/>
    </row>
    <row r="270" ht="12.75" customHeight="1">
      <c r="A270" s="96"/>
    </row>
    <row r="271" ht="12.75" customHeight="1">
      <c r="A271" s="96"/>
    </row>
    <row r="272" ht="12.75" customHeight="1">
      <c r="A272" s="96"/>
    </row>
    <row r="273" ht="12.75" customHeight="1">
      <c r="A273" s="96"/>
    </row>
    <row r="274" ht="12.75" customHeight="1">
      <c r="A274" s="96"/>
    </row>
    <row r="275" ht="12.75" customHeight="1">
      <c r="A275" s="96"/>
    </row>
    <row r="276" ht="12.75" customHeight="1">
      <c r="A276" s="96"/>
    </row>
    <row r="277" ht="12.75" customHeight="1">
      <c r="A277" s="96"/>
    </row>
    <row r="278" ht="12.75" customHeight="1">
      <c r="A278" s="96"/>
    </row>
    <row r="279" ht="12.75" customHeight="1">
      <c r="A279" s="96"/>
    </row>
    <row r="280" ht="12.75" customHeight="1">
      <c r="A280" s="96"/>
    </row>
    <row r="281" ht="12.75" customHeight="1">
      <c r="A281" s="96"/>
    </row>
    <row r="282" ht="12.75" customHeight="1">
      <c r="A282" s="96"/>
    </row>
    <row r="283" ht="12.75" customHeight="1">
      <c r="A283" s="96"/>
    </row>
    <row r="284" ht="12.75" customHeight="1">
      <c r="A284" s="96"/>
    </row>
    <row r="285" ht="12.75" customHeight="1">
      <c r="A285" s="96"/>
    </row>
    <row r="286" ht="12.75" customHeight="1">
      <c r="A286" s="96"/>
    </row>
    <row r="287" ht="12.75" customHeight="1">
      <c r="A287" s="96"/>
    </row>
    <row r="288" ht="12.75" customHeight="1">
      <c r="A288" s="96"/>
    </row>
    <row r="289" ht="12.75" customHeight="1">
      <c r="A289" s="96"/>
    </row>
    <row r="290" ht="12.75" customHeight="1">
      <c r="A290" s="96"/>
    </row>
    <row r="291" ht="12.75" customHeight="1">
      <c r="A291" s="96"/>
    </row>
    <row r="292" ht="12.75" customHeight="1">
      <c r="A292" s="96"/>
    </row>
    <row r="293" ht="12.75" customHeight="1">
      <c r="A293" s="96"/>
    </row>
    <row r="294" ht="12.75" customHeight="1">
      <c r="A294" s="96"/>
    </row>
    <row r="295" ht="12.75" customHeight="1">
      <c r="A295" s="96"/>
    </row>
    <row r="296" ht="12.75" customHeight="1">
      <c r="A296" s="96"/>
    </row>
    <row r="297" ht="12.75" customHeight="1">
      <c r="A297" s="96"/>
    </row>
    <row r="298" ht="12.75" customHeight="1">
      <c r="A298" s="96"/>
    </row>
    <row r="299" ht="12.75" customHeight="1">
      <c r="A299" s="96"/>
    </row>
    <row r="300" ht="12.75" customHeight="1">
      <c r="A300" s="96"/>
    </row>
    <row r="301" ht="12.75" customHeight="1">
      <c r="A301" s="96"/>
    </row>
    <row r="302" ht="12.75" customHeight="1">
      <c r="A302" s="96"/>
    </row>
    <row r="303" ht="12.75" customHeight="1">
      <c r="A303" s="96"/>
    </row>
    <row r="304" ht="12.75" customHeight="1">
      <c r="A304" s="96"/>
    </row>
    <row r="305" ht="12.75" customHeight="1">
      <c r="A305" s="96"/>
    </row>
    <row r="306" ht="12.75" customHeight="1">
      <c r="A306" s="96"/>
    </row>
    <row r="307" ht="12.75" customHeight="1">
      <c r="A307" s="96"/>
    </row>
    <row r="308" ht="12.75" customHeight="1">
      <c r="A308" s="96"/>
    </row>
    <row r="309" ht="12.75" customHeight="1">
      <c r="A309" s="96"/>
    </row>
    <row r="310" ht="12.75" customHeight="1">
      <c r="A310" s="96"/>
    </row>
    <row r="311" ht="12.75" customHeight="1">
      <c r="A311" s="96"/>
    </row>
    <row r="312" ht="12.75" customHeight="1">
      <c r="A312" s="96"/>
    </row>
    <row r="313" ht="12.75" customHeight="1">
      <c r="A313" s="96"/>
    </row>
    <row r="314" ht="12.75" customHeight="1">
      <c r="A314" s="96"/>
    </row>
    <row r="315" ht="12.75" customHeight="1">
      <c r="A315" s="96"/>
    </row>
    <row r="316" ht="12.75" customHeight="1">
      <c r="A316" s="96"/>
    </row>
    <row r="317" ht="12.75" customHeight="1">
      <c r="A317" s="96"/>
    </row>
    <row r="318" ht="12.75" customHeight="1">
      <c r="A318" s="96"/>
    </row>
    <row r="319" ht="12.75" customHeight="1">
      <c r="A319" s="96"/>
    </row>
    <row r="320" ht="12.75" customHeight="1">
      <c r="A320" s="96"/>
    </row>
    <row r="321" ht="12.75" customHeight="1">
      <c r="A321" s="96"/>
    </row>
    <row r="322" ht="12.75" customHeight="1">
      <c r="A322" s="96"/>
    </row>
    <row r="323" ht="12.75" customHeight="1">
      <c r="A323" s="96"/>
    </row>
    <row r="324" ht="12.75" customHeight="1">
      <c r="A324" s="96"/>
    </row>
    <row r="325" ht="12.75" customHeight="1">
      <c r="A325" s="96"/>
    </row>
    <row r="326" ht="12.75" customHeight="1">
      <c r="A326" s="96"/>
    </row>
    <row r="327" ht="12.75" customHeight="1">
      <c r="A327" s="96"/>
    </row>
    <row r="328" ht="12.75" customHeight="1">
      <c r="A328" s="96"/>
    </row>
    <row r="329" ht="12.75" customHeight="1">
      <c r="A329" s="96"/>
    </row>
    <row r="330" ht="12.75" customHeight="1">
      <c r="A330" s="96"/>
    </row>
    <row r="331" ht="12.75" customHeight="1">
      <c r="A331" s="96"/>
    </row>
    <row r="332" ht="12.75" customHeight="1">
      <c r="A332" s="96"/>
    </row>
    <row r="333" ht="12.75" customHeight="1">
      <c r="A333" s="96"/>
    </row>
    <row r="334" ht="12.75" customHeight="1">
      <c r="A334" s="96"/>
    </row>
    <row r="335" ht="12.75" customHeight="1">
      <c r="A335" s="96"/>
    </row>
    <row r="336" ht="12.75" customHeight="1">
      <c r="A336" s="96"/>
    </row>
    <row r="337" ht="12.75" customHeight="1">
      <c r="A337" s="96"/>
    </row>
    <row r="338" ht="12.75" customHeight="1">
      <c r="A338" s="96"/>
    </row>
    <row r="339" ht="12.75" customHeight="1">
      <c r="A339" s="96"/>
    </row>
    <row r="340" ht="12.75" customHeight="1">
      <c r="A340" s="96"/>
    </row>
    <row r="341" ht="12.75" customHeight="1">
      <c r="A341" s="96"/>
    </row>
    <row r="342" ht="12.75" customHeight="1">
      <c r="A342" s="96"/>
    </row>
    <row r="343" ht="12.75" customHeight="1">
      <c r="A343" s="96"/>
    </row>
    <row r="344" ht="12.75" customHeight="1">
      <c r="A344" s="96"/>
    </row>
    <row r="345" ht="12.75" customHeight="1">
      <c r="A345" s="96"/>
    </row>
    <row r="346" ht="12.75" customHeight="1">
      <c r="A346" s="96"/>
    </row>
    <row r="347" ht="12.75" customHeight="1">
      <c r="A347" s="96"/>
    </row>
    <row r="348" ht="12.75" customHeight="1">
      <c r="A348" s="96"/>
    </row>
    <row r="349" ht="12.75" customHeight="1">
      <c r="A349" s="96"/>
    </row>
    <row r="350" ht="12.75" customHeight="1">
      <c r="A350" s="96"/>
    </row>
    <row r="351" ht="12.75" customHeight="1">
      <c r="A351" s="96"/>
    </row>
    <row r="352" ht="12.75" customHeight="1">
      <c r="A352" s="96"/>
    </row>
    <row r="353" ht="12.75" customHeight="1">
      <c r="A353" s="96"/>
    </row>
    <row r="354" ht="12.75" customHeight="1">
      <c r="A354" s="96"/>
    </row>
    <row r="355" ht="12.75" customHeight="1">
      <c r="A355" s="96"/>
    </row>
    <row r="356" ht="12.75" customHeight="1">
      <c r="A356" s="96"/>
    </row>
    <row r="357" ht="12.75" customHeight="1">
      <c r="A357" s="96"/>
    </row>
    <row r="358" ht="12.75" customHeight="1">
      <c r="A358" s="96"/>
    </row>
    <row r="359" ht="12.75" customHeight="1">
      <c r="A359" s="96"/>
    </row>
    <row r="360" ht="12.75" customHeight="1">
      <c r="A360" s="96"/>
    </row>
    <row r="361" ht="12.75" customHeight="1">
      <c r="A361" s="96"/>
    </row>
    <row r="362" ht="12.75" customHeight="1">
      <c r="A362" s="96"/>
    </row>
    <row r="363" ht="12.75" customHeight="1">
      <c r="A363" s="96"/>
    </row>
    <row r="364" ht="12.75" customHeight="1">
      <c r="A364" s="96"/>
    </row>
    <row r="365" ht="12.75" customHeight="1">
      <c r="A365" s="96"/>
    </row>
    <row r="366" ht="12.75" customHeight="1">
      <c r="A366" s="96"/>
    </row>
    <row r="367" ht="12.75" customHeight="1">
      <c r="A367" s="96"/>
    </row>
    <row r="368" ht="12.75" customHeight="1">
      <c r="A368" s="96"/>
    </row>
    <row r="369" ht="12.75" customHeight="1">
      <c r="A369" s="96"/>
    </row>
    <row r="370" ht="12.75" customHeight="1">
      <c r="A370" s="96"/>
    </row>
    <row r="371" ht="12.75" customHeight="1">
      <c r="A371" s="96"/>
    </row>
    <row r="372" ht="12.75" customHeight="1">
      <c r="A372" s="96"/>
    </row>
    <row r="373" ht="12.75" customHeight="1">
      <c r="A373" s="96"/>
    </row>
    <row r="374" ht="12.75" customHeight="1">
      <c r="A374" s="96"/>
    </row>
    <row r="375" ht="12.75" customHeight="1">
      <c r="A375" s="96"/>
    </row>
    <row r="376" ht="12.75" customHeight="1">
      <c r="A376" s="96"/>
    </row>
    <row r="377" ht="12.75" customHeight="1">
      <c r="A377" s="96"/>
    </row>
    <row r="378" ht="12.75" customHeight="1">
      <c r="A378" s="96"/>
    </row>
    <row r="379" ht="12.75" customHeight="1">
      <c r="A379" s="96"/>
    </row>
    <row r="380" ht="12.75" customHeight="1">
      <c r="A380" s="96"/>
    </row>
    <row r="381" ht="12.75" customHeight="1">
      <c r="A381" s="96"/>
    </row>
    <row r="382" ht="12.75" customHeight="1">
      <c r="A382" s="96"/>
    </row>
    <row r="383" ht="12.75" customHeight="1">
      <c r="A383" s="96"/>
    </row>
    <row r="384" ht="12.75" customHeight="1">
      <c r="A384" s="96"/>
    </row>
    <row r="385" ht="12.75" customHeight="1">
      <c r="A385" s="96"/>
    </row>
    <row r="386" ht="12.75" customHeight="1">
      <c r="A386" s="96"/>
    </row>
    <row r="387" ht="12.75" customHeight="1">
      <c r="A387" s="96"/>
    </row>
    <row r="388" ht="12.75" customHeight="1">
      <c r="A388" s="96"/>
    </row>
    <row r="389" ht="12.75" customHeight="1">
      <c r="A389" s="96"/>
    </row>
    <row r="390" ht="12.75" customHeight="1">
      <c r="A390" s="96"/>
    </row>
    <row r="391" ht="12.75" customHeight="1">
      <c r="A391" s="96"/>
    </row>
    <row r="392" ht="12.75" customHeight="1">
      <c r="A392" s="96"/>
    </row>
    <row r="393" ht="12.75" customHeight="1">
      <c r="A393" s="96"/>
    </row>
    <row r="394" ht="12.75" customHeight="1">
      <c r="A394" s="96"/>
    </row>
    <row r="395" ht="12.75" customHeight="1">
      <c r="A395" s="96"/>
    </row>
    <row r="396" ht="12.75" customHeight="1">
      <c r="A396" s="96"/>
    </row>
    <row r="397" ht="12.75" customHeight="1">
      <c r="A397" s="96"/>
    </row>
    <row r="398" ht="12.75" customHeight="1">
      <c r="A398" s="96"/>
    </row>
    <row r="399" ht="12.75" customHeight="1">
      <c r="A399" s="96"/>
    </row>
    <row r="400" ht="12.75" customHeight="1">
      <c r="A400" s="96"/>
    </row>
    <row r="401" ht="12.75" customHeight="1">
      <c r="A401" s="96"/>
    </row>
    <row r="402" ht="12.75" customHeight="1">
      <c r="A402" s="96"/>
    </row>
    <row r="403" ht="12.75" customHeight="1">
      <c r="A403" s="96"/>
    </row>
    <row r="404" ht="12.75" customHeight="1">
      <c r="A404" s="96"/>
    </row>
    <row r="405" ht="12.75" customHeight="1">
      <c r="A405" s="96"/>
    </row>
    <row r="406" ht="12.75" customHeight="1">
      <c r="A406" s="96"/>
    </row>
    <row r="407" ht="12.75" customHeight="1">
      <c r="A407" s="96"/>
    </row>
    <row r="408" ht="12.75" customHeight="1">
      <c r="A408" s="96"/>
    </row>
    <row r="409" ht="12.75" customHeight="1">
      <c r="A409" s="96"/>
    </row>
    <row r="410" ht="12.75" customHeight="1">
      <c r="A410" s="96"/>
    </row>
    <row r="411" ht="12.75" customHeight="1">
      <c r="A411" s="96"/>
    </row>
    <row r="412" ht="12.75" customHeight="1">
      <c r="A412" s="96"/>
    </row>
    <row r="413" ht="12.75" customHeight="1">
      <c r="A413" s="96"/>
    </row>
    <row r="414" ht="12.75" customHeight="1">
      <c r="A414" s="96"/>
    </row>
    <row r="415" ht="12.75" customHeight="1">
      <c r="A415" s="96"/>
    </row>
    <row r="416" ht="12.75" customHeight="1">
      <c r="A416" s="96"/>
    </row>
    <row r="417" ht="12.75" customHeight="1">
      <c r="A417" s="96"/>
    </row>
    <row r="418" ht="12.75" customHeight="1">
      <c r="A418" s="96"/>
    </row>
    <row r="419" ht="12.75" customHeight="1">
      <c r="A419" s="96"/>
    </row>
    <row r="420" ht="12.75" customHeight="1">
      <c r="A420" s="96"/>
    </row>
    <row r="421" ht="12.75" customHeight="1">
      <c r="A421" s="96"/>
    </row>
    <row r="422" ht="12.75" customHeight="1">
      <c r="A422" s="96"/>
    </row>
    <row r="423" ht="12.75" customHeight="1">
      <c r="A423" s="96"/>
    </row>
    <row r="424" ht="12.75" customHeight="1">
      <c r="A424" s="96"/>
    </row>
    <row r="425" ht="12.75" customHeight="1">
      <c r="A425" s="96"/>
    </row>
    <row r="426" ht="12.75" customHeight="1">
      <c r="A426" s="96"/>
    </row>
    <row r="427" ht="12.75" customHeight="1">
      <c r="A427" s="96"/>
    </row>
    <row r="428" ht="12.75" customHeight="1">
      <c r="A428" s="96"/>
    </row>
    <row r="429" ht="12.75" customHeight="1">
      <c r="A429" s="96"/>
    </row>
    <row r="430" ht="12.75" customHeight="1">
      <c r="A430" s="96"/>
    </row>
    <row r="431" ht="12.75" customHeight="1">
      <c r="A431" s="96"/>
    </row>
    <row r="432" ht="12.75" customHeight="1">
      <c r="A432" s="96"/>
    </row>
    <row r="433" ht="12.75" customHeight="1">
      <c r="A433" s="96"/>
    </row>
    <row r="434" ht="12.75" customHeight="1">
      <c r="A434" s="96"/>
    </row>
    <row r="435" ht="12.75" customHeight="1">
      <c r="A435" s="96"/>
    </row>
    <row r="436" ht="12.75" customHeight="1">
      <c r="A436" s="96"/>
    </row>
    <row r="437" ht="12.75" customHeight="1">
      <c r="A437" s="96"/>
    </row>
    <row r="438" ht="12.75" customHeight="1">
      <c r="A438" s="96"/>
    </row>
    <row r="439" ht="12.75" customHeight="1">
      <c r="A439" s="96"/>
    </row>
    <row r="440" ht="12.75" customHeight="1">
      <c r="A440" s="96"/>
    </row>
    <row r="441" ht="12.75" customHeight="1">
      <c r="A441" s="96"/>
    </row>
    <row r="442" ht="12.75" customHeight="1">
      <c r="A442" s="96"/>
    </row>
    <row r="443" ht="12.75" customHeight="1">
      <c r="A443" s="96"/>
    </row>
    <row r="444" ht="12.75" customHeight="1">
      <c r="A444" s="96"/>
    </row>
    <row r="445" ht="12.75" customHeight="1">
      <c r="A445" s="96"/>
    </row>
    <row r="446" ht="12.75" customHeight="1">
      <c r="A446" s="96"/>
    </row>
    <row r="447" ht="12.75" customHeight="1">
      <c r="A447" s="96"/>
    </row>
    <row r="448" ht="12.75" customHeight="1">
      <c r="A448" s="96"/>
    </row>
    <row r="449" ht="12.75" customHeight="1">
      <c r="A449" s="96"/>
    </row>
    <row r="450" ht="12.75" customHeight="1">
      <c r="A450" s="96"/>
    </row>
    <row r="451" ht="12.75" customHeight="1">
      <c r="A451" s="96"/>
    </row>
    <row r="452" ht="12.75" customHeight="1">
      <c r="A452" s="96"/>
    </row>
    <row r="453" ht="12.75" customHeight="1">
      <c r="A453" s="96"/>
    </row>
    <row r="454" ht="12.75" customHeight="1">
      <c r="A454" s="96"/>
    </row>
    <row r="455" ht="12.75" customHeight="1">
      <c r="A455" s="96"/>
    </row>
    <row r="456" ht="12.75" customHeight="1">
      <c r="A456" s="96"/>
    </row>
    <row r="457" ht="12.75" customHeight="1">
      <c r="A457" s="96"/>
    </row>
    <row r="458" ht="12.75" customHeight="1">
      <c r="A458" s="96"/>
    </row>
    <row r="459" ht="12.75" customHeight="1">
      <c r="A459" s="96"/>
    </row>
    <row r="460" ht="12.75" customHeight="1">
      <c r="A460" s="96"/>
    </row>
    <row r="461" ht="12.75" customHeight="1">
      <c r="A461" s="96"/>
    </row>
    <row r="462" ht="12.75" customHeight="1">
      <c r="A462" s="96"/>
    </row>
    <row r="463" ht="12.75" customHeight="1">
      <c r="A463" s="96"/>
    </row>
    <row r="464" ht="12.75" customHeight="1">
      <c r="A464" s="96"/>
    </row>
    <row r="465" ht="12.75" customHeight="1">
      <c r="A465" s="96"/>
    </row>
    <row r="466" ht="12.75" customHeight="1">
      <c r="A466" s="96"/>
    </row>
    <row r="467" ht="12.75" customHeight="1">
      <c r="A467" s="96"/>
    </row>
    <row r="468" ht="12.75" customHeight="1">
      <c r="A468" s="96"/>
    </row>
    <row r="469" ht="12.75" customHeight="1">
      <c r="A469" s="96"/>
    </row>
    <row r="470" ht="12.75" customHeight="1">
      <c r="A470" s="96"/>
    </row>
    <row r="471" ht="12.75" customHeight="1">
      <c r="A471" s="96"/>
    </row>
    <row r="472" ht="12.75" customHeight="1">
      <c r="A472" s="96"/>
    </row>
    <row r="473" ht="12.75" customHeight="1">
      <c r="A473" s="96"/>
    </row>
    <row r="474" ht="12.75" customHeight="1">
      <c r="A474" s="96"/>
    </row>
    <row r="475" ht="12.75" customHeight="1">
      <c r="A475" s="96"/>
    </row>
    <row r="476" ht="12.75" customHeight="1">
      <c r="A476" s="96"/>
    </row>
    <row r="477" ht="12.75" customHeight="1">
      <c r="A477" s="96"/>
    </row>
    <row r="478" ht="12.75" customHeight="1">
      <c r="A478" s="96"/>
    </row>
    <row r="479" ht="12.75" customHeight="1">
      <c r="A479" s="96"/>
    </row>
    <row r="480" ht="12.75" customHeight="1">
      <c r="A480" s="96"/>
    </row>
    <row r="481" ht="12.75" customHeight="1">
      <c r="A481" s="96"/>
    </row>
    <row r="482" ht="12.75" customHeight="1">
      <c r="A482" s="96"/>
    </row>
    <row r="483" ht="12.75" customHeight="1">
      <c r="A483" s="96"/>
    </row>
    <row r="484" ht="12.75" customHeight="1">
      <c r="A484" s="96"/>
    </row>
    <row r="485" ht="12.75" customHeight="1">
      <c r="A485" s="96"/>
    </row>
    <row r="486" ht="12.75" customHeight="1">
      <c r="A486" s="96"/>
    </row>
    <row r="487" ht="12.75" customHeight="1">
      <c r="A487" s="96"/>
    </row>
    <row r="488" ht="12.75" customHeight="1">
      <c r="A488" s="96"/>
    </row>
    <row r="489" ht="12.75" customHeight="1">
      <c r="A489" s="96"/>
    </row>
    <row r="490" ht="12.75" customHeight="1">
      <c r="A490" s="96"/>
    </row>
    <row r="491" ht="12.75" customHeight="1">
      <c r="A491" s="96"/>
    </row>
    <row r="492" ht="12.75" customHeight="1">
      <c r="A492" s="96"/>
    </row>
    <row r="493" ht="12.75" customHeight="1">
      <c r="A493" s="96"/>
    </row>
    <row r="494" ht="12.75" customHeight="1">
      <c r="A494" s="96"/>
    </row>
    <row r="495" ht="12.75" customHeight="1">
      <c r="A495" s="96"/>
    </row>
    <row r="496" ht="12.75" customHeight="1">
      <c r="A496" s="96"/>
    </row>
    <row r="497" ht="12.75" customHeight="1">
      <c r="A497" s="96"/>
    </row>
    <row r="498" ht="12.75" customHeight="1">
      <c r="A498" s="96"/>
    </row>
    <row r="499" ht="12.75" customHeight="1">
      <c r="A499" s="96"/>
    </row>
    <row r="500" ht="12.75" customHeight="1">
      <c r="A500" s="96"/>
    </row>
    <row r="501" ht="12.75" customHeight="1">
      <c r="A501" s="96"/>
    </row>
    <row r="502" ht="12.75" customHeight="1">
      <c r="A502" s="96"/>
    </row>
    <row r="503" ht="12.75" customHeight="1">
      <c r="A503" s="96"/>
    </row>
    <row r="504" ht="12.75" customHeight="1">
      <c r="A504" s="96"/>
    </row>
    <row r="505" ht="12.75" customHeight="1">
      <c r="A505" s="96"/>
    </row>
    <row r="506" ht="12.75" customHeight="1">
      <c r="A506" s="96"/>
    </row>
    <row r="507" ht="12.75" customHeight="1">
      <c r="A507" s="96"/>
    </row>
    <row r="508" ht="12.75" customHeight="1">
      <c r="A508" s="96"/>
    </row>
    <row r="509" ht="12.75" customHeight="1">
      <c r="A509" s="96"/>
    </row>
    <row r="510" ht="12.75" customHeight="1">
      <c r="A510" s="96"/>
    </row>
    <row r="511" ht="12.75" customHeight="1">
      <c r="A511" s="96"/>
    </row>
    <row r="512" ht="12.75" customHeight="1">
      <c r="A512" s="96"/>
    </row>
    <row r="513" ht="12.75" customHeight="1">
      <c r="A513" s="96"/>
    </row>
    <row r="514" ht="12.75" customHeight="1">
      <c r="A514" s="96"/>
    </row>
    <row r="515" ht="12.75" customHeight="1">
      <c r="A515" s="96"/>
    </row>
    <row r="516" ht="12.75" customHeight="1">
      <c r="A516" s="96"/>
    </row>
    <row r="517" ht="12.75" customHeight="1">
      <c r="A517" s="96"/>
    </row>
    <row r="518" ht="12.75" customHeight="1">
      <c r="A518" s="96"/>
    </row>
    <row r="519" ht="12.75" customHeight="1">
      <c r="A519" s="96"/>
    </row>
    <row r="520" ht="12.75" customHeight="1">
      <c r="A520" s="96"/>
    </row>
    <row r="521" ht="12.75" customHeight="1">
      <c r="A521" s="96"/>
    </row>
    <row r="522" ht="12.75" customHeight="1">
      <c r="A522" s="96"/>
    </row>
    <row r="523" ht="12.75" customHeight="1">
      <c r="A523" s="96"/>
    </row>
    <row r="524" ht="12.75" customHeight="1">
      <c r="A524" s="96"/>
    </row>
    <row r="525" ht="12.75" customHeight="1">
      <c r="A525" s="96"/>
    </row>
    <row r="526" ht="12.75" customHeight="1">
      <c r="A526" s="96"/>
    </row>
    <row r="527" ht="12.75" customHeight="1">
      <c r="A527" s="96"/>
    </row>
    <row r="528" ht="12.75" customHeight="1">
      <c r="A528" s="96"/>
    </row>
    <row r="529" ht="12.75" customHeight="1">
      <c r="A529" s="96"/>
    </row>
    <row r="530" ht="12.75" customHeight="1">
      <c r="A530" s="96"/>
    </row>
    <row r="531" ht="12.75" customHeight="1">
      <c r="A531" s="96"/>
    </row>
    <row r="532" ht="12.75" customHeight="1">
      <c r="A532" s="96"/>
    </row>
    <row r="533" ht="12.75" customHeight="1">
      <c r="A533" s="96"/>
    </row>
    <row r="534" ht="12.75" customHeight="1">
      <c r="A534" s="96"/>
    </row>
    <row r="535" ht="12.75" customHeight="1">
      <c r="A535" s="96"/>
    </row>
    <row r="536" ht="12.75" customHeight="1">
      <c r="A536" s="96"/>
    </row>
    <row r="537" ht="12.75" customHeight="1">
      <c r="A537" s="96"/>
    </row>
    <row r="538" ht="12.75" customHeight="1">
      <c r="A538" s="96"/>
    </row>
    <row r="539" ht="12.75" customHeight="1">
      <c r="A539" s="96"/>
    </row>
    <row r="540" ht="12.75" customHeight="1">
      <c r="A540" s="96"/>
    </row>
    <row r="541" ht="12.75" customHeight="1">
      <c r="A541" s="96"/>
    </row>
    <row r="542" ht="12.75" customHeight="1">
      <c r="A542" s="96"/>
    </row>
    <row r="543" ht="12.75" customHeight="1">
      <c r="A543" s="96"/>
    </row>
    <row r="544" ht="12.75" customHeight="1">
      <c r="A544" s="96"/>
    </row>
    <row r="545" ht="12.75" customHeight="1">
      <c r="A545" s="96"/>
    </row>
    <row r="546" ht="12.75" customHeight="1">
      <c r="A546" s="96"/>
    </row>
    <row r="547" ht="12.75" customHeight="1">
      <c r="A547" s="96"/>
    </row>
    <row r="548" ht="12.75" customHeight="1">
      <c r="A548" s="96"/>
    </row>
    <row r="549" ht="12.75" customHeight="1">
      <c r="A549" s="96"/>
    </row>
    <row r="550" ht="12.75" customHeight="1">
      <c r="A550" s="96"/>
    </row>
    <row r="551" ht="12.75" customHeight="1">
      <c r="A551" s="96"/>
    </row>
    <row r="552" ht="12.75" customHeight="1">
      <c r="A552" s="96"/>
    </row>
    <row r="553" ht="12.75" customHeight="1">
      <c r="A553" s="96"/>
    </row>
    <row r="554" ht="12.75" customHeight="1">
      <c r="A554" s="96"/>
    </row>
    <row r="555" ht="12.75" customHeight="1">
      <c r="A555" s="96"/>
    </row>
    <row r="556" ht="12.75" customHeight="1">
      <c r="A556" s="96"/>
    </row>
    <row r="557" ht="12.75" customHeight="1">
      <c r="A557" s="96"/>
    </row>
    <row r="558" ht="12.75" customHeight="1">
      <c r="A558" s="96"/>
    </row>
    <row r="559" ht="12.75" customHeight="1">
      <c r="A559" s="96"/>
    </row>
    <row r="560" ht="12.75" customHeight="1">
      <c r="A560" s="96"/>
    </row>
    <row r="561" ht="12.75" customHeight="1">
      <c r="A561" s="96"/>
    </row>
    <row r="562" ht="12.75" customHeight="1">
      <c r="A562" s="96"/>
    </row>
    <row r="563" ht="12.75" customHeight="1">
      <c r="A563" s="96"/>
    </row>
    <row r="564" ht="12.75" customHeight="1">
      <c r="A564" s="96"/>
    </row>
    <row r="565" ht="12.75" customHeight="1">
      <c r="A565" s="96"/>
    </row>
    <row r="566" ht="12.75" customHeight="1">
      <c r="A566" s="96"/>
    </row>
    <row r="567" ht="12.75" customHeight="1">
      <c r="A567" s="96"/>
    </row>
    <row r="568" ht="12.75" customHeight="1">
      <c r="A568" s="96"/>
    </row>
    <row r="569" ht="12.75" customHeight="1">
      <c r="A569" s="96"/>
    </row>
    <row r="570" ht="12.75" customHeight="1">
      <c r="A570" s="96"/>
    </row>
    <row r="571" ht="12.75" customHeight="1">
      <c r="A571" s="96"/>
    </row>
    <row r="572" ht="12.75" customHeight="1">
      <c r="A572" s="96"/>
    </row>
    <row r="573" ht="12.75" customHeight="1">
      <c r="A573" s="96"/>
    </row>
    <row r="574" ht="12.75" customHeight="1">
      <c r="A574" s="96"/>
    </row>
    <row r="575" ht="12.75" customHeight="1">
      <c r="A575" s="96"/>
    </row>
    <row r="576" ht="12.75" customHeight="1">
      <c r="A576" s="96"/>
    </row>
    <row r="577" ht="12.75" customHeight="1">
      <c r="A577" s="96"/>
    </row>
    <row r="578" ht="12.75" customHeight="1">
      <c r="A578" s="96"/>
    </row>
    <row r="579" ht="12.75" customHeight="1">
      <c r="A579" s="96"/>
    </row>
    <row r="580" ht="12.75" customHeight="1">
      <c r="A580" s="96"/>
    </row>
    <row r="581" ht="12.75" customHeight="1">
      <c r="A581" s="96"/>
    </row>
    <row r="582" ht="12.75" customHeight="1">
      <c r="A582" s="96"/>
    </row>
    <row r="583" ht="12.75" customHeight="1">
      <c r="A583" s="96"/>
    </row>
    <row r="584" ht="12.75" customHeight="1">
      <c r="A584" s="96"/>
    </row>
    <row r="585" ht="12.75" customHeight="1">
      <c r="A585" s="96"/>
    </row>
    <row r="586" ht="12.75" customHeight="1">
      <c r="A586" s="96"/>
    </row>
    <row r="587" ht="12.75" customHeight="1">
      <c r="A587" s="96"/>
    </row>
    <row r="588" ht="12.75" customHeight="1">
      <c r="A588" s="96"/>
    </row>
    <row r="589" ht="12.75" customHeight="1">
      <c r="A589" s="96"/>
    </row>
    <row r="590" ht="12.75" customHeight="1">
      <c r="A590" s="96"/>
    </row>
    <row r="591" ht="12.75" customHeight="1">
      <c r="A591" s="96"/>
    </row>
    <row r="592" ht="12.75" customHeight="1">
      <c r="A592" s="96"/>
    </row>
    <row r="593" ht="12.75" customHeight="1">
      <c r="A593" s="96"/>
    </row>
    <row r="594" ht="12.75" customHeight="1">
      <c r="A594" s="96"/>
    </row>
    <row r="595" ht="12.75" customHeight="1">
      <c r="A595" s="96"/>
    </row>
    <row r="596" ht="12.75" customHeight="1">
      <c r="A596" s="96"/>
    </row>
    <row r="597" ht="12.75" customHeight="1">
      <c r="A597" s="96"/>
    </row>
    <row r="598" ht="12.75" customHeight="1">
      <c r="A598" s="96"/>
    </row>
    <row r="599" ht="12.75" customHeight="1">
      <c r="A599" s="96"/>
    </row>
    <row r="600" ht="12.75" customHeight="1">
      <c r="A600" s="96"/>
    </row>
    <row r="601" ht="12.75" customHeight="1">
      <c r="A601" s="96"/>
    </row>
    <row r="602" ht="12.75" customHeight="1">
      <c r="A602" s="96"/>
    </row>
    <row r="603" ht="12.75" customHeight="1">
      <c r="A603" s="96"/>
    </row>
    <row r="604" ht="12.75" customHeight="1">
      <c r="A604" s="96"/>
    </row>
    <row r="605" ht="12.75" customHeight="1">
      <c r="A605" s="96"/>
    </row>
    <row r="606" ht="12.75" customHeight="1">
      <c r="A606" s="96"/>
    </row>
    <row r="607" ht="12.75" customHeight="1">
      <c r="A607" s="96"/>
    </row>
    <row r="608" ht="12.75" customHeight="1">
      <c r="A608" s="96"/>
    </row>
    <row r="609" ht="12.75" customHeight="1">
      <c r="A609" s="96"/>
    </row>
    <row r="610" ht="12.75" customHeight="1">
      <c r="A610" s="96"/>
    </row>
    <row r="611" ht="12.75" customHeight="1">
      <c r="A611" s="96"/>
    </row>
    <row r="612" ht="12.75" customHeight="1">
      <c r="A612" s="96"/>
    </row>
    <row r="613" ht="12.75" customHeight="1">
      <c r="A613" s="96"/>
    </row>
    <row r="614" ht="12.75" customHeight="1">
      <c r="A614" s="96"/>
    </row>
    <row r="615" ht="12.75" customHeight="1">
      <c r="A615" s="96"/>
    </row>
    <row r="616" ht="12.75" customHeight="1">
      <c r="A616" s="96"/>
    </row>
    <row r="617" ht="12.75" customHeight="1">
      <c r="A617" s="96"/>
    </row>
    <row r="618" ht="12.75" customHeight="1">
      <c r="A618" s="96"/>
    </row>
    <row r="619" ht="12.75" customHeight="1">
      <c r="A619" s="96"/>
    </row>
    <row r="620" ht="12.75" customHeight="1">
      <c r="A620" s="96"/>
    </row>
    <row r="621" ht="12.75" customHeight="1">
      <c r="A621" s="96"/>
    </row>
    <row r="622" ht="12.75" customHeight="1">
      <c r="A622" s="96"/>
    </row>
    <row r="623" ht="12.75" customHeight="1">
      <c r="A623" s="96"/>
    </row>
    <row r="624" ht="12.75" customHeight="1">
      <c r="A624" s="96"/>
    </row>
    <row r="625" ht="12.75" customHeight="1">
      <c r="A625" s="96"/>
    </row>
    <row r="626" ht="12.75" customHeight="1">
      <c r="A626" s="96"/>
    </row>
    <row r="627" ht="12.75" customHeight="1">
      <c r="A627" s="96"/>
    </row>
    <row r="628" ht="12.75" customHeight="1">
      <c r="A628" s="96"/>
    </row>
    <row r="629" ht="12.75" customHeight="1">
      <c r="A629" s="96"/>
    </row>
    <row r="630" ht="12.75" customHeight="1">
      <c r="A630" s="96"/>
    </row>
    <row r="631" ht="12.75" customHeight="1">
      <c r="A631" s="96"/>
    </row>
    <row r="632" ht="12.75" customHeight="1">
      <c r="A632" s="96"/>
    </row>
    <row r="633" ht="12.75" customHeight="1">
      <c r="A633" s="96"/>
    </row>
    <row r="634" ht="12.75" customHeight="1">
      <c r="A634" s="96"/>
    </row>
    <row r="635" ht="12.75" customHeight="1">
      <c r="A635" s="96"/>
    </row>
    <row r="636" ht="12.75" customHeight="1">
      <c r="A636" s="96"/>
    </row>
    <row r="637" ht="12.75" customHeight="1">
      <c r="A637" s="96"/>
    </row>
    <row r="638" ht="12.75" customHeight="1">
      <c r="A638" s="96"/>
    </row>
    <row r="639" ht="12.75" customHeight="1">
      <c r="A639" s="96"/>
    </row>
    <row r="640" ht="12.75" customHeight="1">
      <c r="A640" s="96"/>
    </row>
    <row r="641" ht="12.75" customHeight="1">
      <c r="A641" s="96"/>
    </row>
    <row r="642" ht="12.75" customHeight="1">
      <c r="A642" s="96"/>
    </row>
    <row r="643" ht="12.75" customHeight="1">
      <c r="A643" s="96"/>
    </row>
    <row r="644" ht="12.75" customHeight="1">
      <c r="A644" s="96"/>
    </row>
    <row r="645" ht="12.75" customHeight="1">
      <c r="A645" s="96"/>
    </row>
    <row r="646" ht="12.75" customHeight="1">
      <c r="A646" s="96"/>
    </row>
    <row r="647" ht="12.75" customHeight="1">
      <c r="A647" s="96"/>
    </row>
    <row r="648" ht="12.75" customHeight="1">
      <c r="A648" s="96"/>
    </row>
    <row r="649" ht="12.75" customHeight="1">
      <c r="A649" s="96"/>
    </row>
    <row r="650" ht="12.75" customHeight="1">
      <c r="A650" s="96"/>
    </row>
    <row r="651" ht="12.75" customHeight="1">
      <c r="A651" s="96"/>
    </row>
    <row r="652" ht="12.75" customHeight="1">
      <c r="A652" s="96"/>
    </row>
    <row r="653" ht="12.75" customHeight="1">
      <c r="A653" s="96"/>
    </row>
    <row r="654" ht="12.75" customHeight="1">
      <c r="A654" s="96"/>
    </row>
    <row r="655" ht="12.75" customHeight="1">
      <c r="A655" s="96"/>
    </row>
    <row r="656" ht="12.75" customHeight="1">
      <c r="A656" s="96"/>
    </row>
    <row r="657" ht="12.75" customHeight="1">
      <c r="A657" s="96"/>
    </row>
    <row r="658" ht="12.75" customHeight="1">
      <c r="A658" s="96"/>
    </row>
    <row r="659" ht="12.75" customHeight="1">
      <c r="A659" s="96"/>
    </row>
    <row r="660" ht="12.75" customHeight="1">
      <c r="A660" s="96"/>
    </row>
    <row r="661" ht="12.75" customHeight="1">
      <c r="A661" s="96"/>
    </row>
    <row r="662" ht="12.75" customHeight="1">
      <c r="A662" s="96"/>
    </row>
    <row r="663" ht="12.75" customHeight="1">
      <c r="A663" s="96"/>
    </row>
    <row r="664" ht="12.75" customHeight="1">
      <c r="A664" s="96"/>
    </row>
    <row r="665" ht="12.75" customHeight="1">
      <c r="A665" s="96"/>
    </row>
    <row r="666" ht="12.75" customHeight="1">
      <c r="A666" s="96"/>
    </row>
    <row r="667" ht="12.75" customHeight="1">
      <c r="A667" s="96"/>
    </row>
    <row r="668" ht="12.75" customHeight="1">
      <c r="A668" s="96"/>
    </row>
    <row r="669" ht="12.75" customHeight="1">
      <c r="A669" s="96"/>
    </row>
    <row r="670" ht="12.75" customHeight="1">
      <c r="A670" s="96"/>
    </row>
    <row r="671" ht="12.75" customHeight="1">
      <c r="A671" s="96"/>
    </row>
    <row r="672" ht="12.75" customHeight="1">
      <c r="A672" s="96"/>
    </row>
    <row r="673" ht="12.75" customHeight="1">
      <c r="A673" s="96"/>
    </row>
    <row r="674" ht="12.75" customHeight="1">
      <c r="A674" s="96"/>
    </row>
    <row r="675" ht="12.75" customHeight="1">
      <c r="A675" s="96"/>
    </row>
    <row r="676" ht="12.75" customHeight="1">
      <c r="A676" s="96"/>
    </row>
    <row r="677" ht="12.75" customHeight="1">
      <c r="A677" s="96"/>
    </row>
    <row r="678" ht="12.75" customHeight="1">
      <c r="A678" s="96"/>
    </row>
    <row r="679" ht="12.75" customHeight="1">
      <c r="A679" s="96"/>
    </row>
    <row r="680" ht="12.75" customHeight="1">
      <c r="A680" s="96"/>
    </row>
    <row r="681" ht="12.75" customHeight="1">
      <c r="A681" s="96"/>
    </row>
    <row r="682" ht="12.75" customHeight="1">
      <c r="A682" s="96"/>
    </row>
    <row r="683" ht="12.75" customHeight="1">
      <c r="A683" s="96"/>
    </row>
    <row r="684" ht="12.75" customHeight="1">
      <c r="A684" s="96"/>
    </row>
    <row r="685" ht="12.75" customHeight="1">
      <c r="A685" s="96"/>
    </row>
    <row r="686" ht="12.75" customHeight="1">
      <c r="A686" s="96"/>
    </row>
    <row r="687" ht="12.75" customHeight="1">
      <c r="A687" s="96"/>
    </row>
    <row r="688" ht="12.75" customHeight="1">
      <c r="A688" s="96"/>
    </row>
    <row r="689" ht="12.75" customHeight="1">
      <c r="A689" s="96"/>
    </row>
    <row r="690" ht="12.75" customHeight="1">
      <c r="A690" s="96"/>
    </row>
    <row r="691" ht="12.75" customHeight="1">
      <c r="A691" s="96"/>
    </row>
    <row r="692" ht="12.75" customHeight="1">
      <c r="A692" s="96"/>
    </row>
    <row r="693" ht="12.75" customHeight="1">
      <c r="A693" s="96"/>
    </row>
    <row r="694" ht="12.75" customHeight="1">
      <c r="A694" s="96"/>
    </row>
    <row r="695" ht="12.75" customHeight="1">
      <c r="A695" s="96"/>
    </row>
    <row r="696" ht="12.75" customHeight="1">
      <c r="A696" s="96"/>
    </row>
    <row r="697" ht="12.75" customHeight="1">
      <c r="A697" s="96"/>
    </row>
    <row r="698" ht="12.75" customHeight="1">
      <c r="A698" s="96"/>
    </row>
    <row r="699" ht="12.75" customHeight="1">
      <c r="A699" s="96"/>
    </row>
    <row r="700" ht="12.75" customHeight="1">
      <c r="A700" s="96"/>
    </row>
    <row r="701" ht="12.75" customHeight="1">
      <c r="A701" s="96"/>
    </row>
    <row r="702" ht="12.75" customHeight="1">
      <c r="A702" s="96"/>
    </row>
    <row r="703" ht="12.75" customHeight="1">
      <c r="A703" s="96"/>
    </row>
    <row r="704" ht="12.75" customHeight="1">
      <c r="A704" s="96"/>
    </row>
    <row r="705" ht="12.75" customHeight="1">
      <c r="A705" s="96"/>
    </row>
    <row r="706" ht="12.75" customHeight="1">
      <c r="A706" s="96"/>
    </row>
    <row r="707" ht="12.75" customHeight="1">
      <c r="A707" s="96"/>
    </row>
    <row r="708" ht="12.75" customHeight="1">
      <c r="A708" s="96"/>
    </row>
    <row r="709" ht="12.75" customHeight="1">
      <c r="A709" s="96"/>
    </row>
    <row r="710" ht="12.75" customHeight="1">
      <c r="A710" s="96"/>
    </row>
    <row r="711" ht="12.75" customHeight="1">
      <c r="A711" s="96"/>
    </row>
    <row r="712" ht="12.75" customHeight="1">
      <c r="A712" s="96"/>
    </row>
    <row r="713" ht="12.75" customHeight="1">
      <c r="A713" s="96"/>
    </row>
    <row r="714" ht="12.75" customHeight="1">
      <c r="A714" s="96"/>
    </row>
    <row r="715" ht="12.75" customHeight="1">
      <c r="A715" s="96"/>
    </row>
    <row r="716" ht="12.75" customHeight="1">
      <c r="A716" s="96"/>
    </row>
    <row r="717" ht="12.75" customHeight="1">
      <c r="A717" s="96"/>
    </row>
    <row r="718" ht="12.75" customHeight="1">
      <c r="A718" s="96"/>
    </row>
    <row r="719" ht="12.75" customHeight="1">
      <c r="A719" s="96"/>
    </row>
    <row r="720" ht="12.75" customHeight="1">
      <c r="A720" s="96"/>
    </row>
    <row r="721" ht="12.75" customHeight="1">
      <c r="A721" s="96"/>
    </row>
    <row r="722" ht="12.75" customHeight="1">
      <c r="A722" s="96"/>
    </row>
    <row r="723" ht="12.75" customHeight="1">
      <c r="A723" s="96"/>
    </row>
    <row r="724" ht="12.75" customHeight="1">
      <c r="A724" s="96"/>
    </row>
    <row r="725" ht="12.75" customHeight="1">
      <c r="A725" s="96"/>
    </row>
    <row r="726" ht="12.75" customHeight="1">
      <c r="A726" s="96"/>
    </row>
    <row r="727" ht="12.75" customHeight="1">
      <c r="A727" s="96"/>
    </row>
    <row r="728" ht="12.75" customHeight="1">
      <c r="A728" s="96"/>
    </row>
    <row r="729" ht="12.75" customHeight="1">
      <c r="A729" s="96"/>
    </row>
    <row r="730" ht="12.75" customHeight="1">
      <c r="A730" s="96"/>
    </row>
    <row r="731" ht="12.75" customHeight="1">
      <c r="A731" s="96"/>
    </row>
    <row r="732" ht="12.75" customHeight="1">
      <c r="A732" s="96"/>
    </row>
    <row r="733" ht="12.75" customHeight="1">
      <c r="A733" s="96"/>
    </row>
    <row r="734" ht="12.75" customHeight="1">
      <c r="A734" s="96"/>
    </row>
    <row r="735" ht="12.75" customHeight="1">
      <c r="A735" s="96"/>
    </row>
    <row r="736" ht="12.75" customHeight="1">
      <c r="A736" s="96"/>
    </row>
    <row r="737" ht="12.75" customHeight="1">
      <c r="A737" s="96"/>
    </row>
    <row r="738" ht="12.75" customHeight="1">
      <c r="A738" s="96"/>
    </row>
    <row r="739" ht="12.75" customHeight="1">
      <c r="A739" s="96"/>
    </row>
    <row r="740" ht="12.75" customHeight="1">
      <c r="A740" s="96"/>
    </row>
    <row r="741" ht="12.75" customHeight="1">
      <c r="A741" s="96"/>
    </row>
    <row r="742" ht="12.75" customHeight="1">
      <c r="A742" s="96"/>
    </row>
    <row r="743" ht="12.75" customHeight="1">
      <c r="A743" s="96"/>
    </row>
    <row r="744" ht="12.75" customHeight="1">
      <c r="A744" s="96"/>
    </row>
    <row r="745" ht="12.75" customHeight="1">
      <c r="A745" s="96"/>
    </row>
    <row r="746" ht="12.75" customHeight="1">
      <c r="A746" s="96"/>
    </row>
    <row r="747" ht="12.75" customHeight="1">
      <c r="A747" s="96"/>
    </row>
    <row r="748" ht="12.75" customHeight="1">
      <c r="A748" s="96"/>
    </row>
    <row r="749" ht="12.75" customHeight="1">
      <c r="A749" s="96"/>
    </row>
    <row r="750" ht="12.75" customHeight="1">
      <c r="A750" s="96"/>
    </row>
    <row r="751" ht="12.75" customHeight="1">
      <c r="A751" s="96"/>
    </row>
    <row r="752" ht="12.75" customHeight="1">
      <c r="A752" s="96"/>
    </row>
    <row r="753" ht="12.75" customHeight="1">
      <c r="A753" s="96"/>
    </row>
    <row r="754" ht="12.75" customHeight="1">
      <c r="A754" s="96"/>
    </row>
    <row r="755" ht="12.75" customHeight="1">
      <c r="A755" s="96"/>
    </row>
    <row r="756" ht="12.75" customHeight="1">
      <c r="A756" s="96"/>
    </row>
    <row r="757" ht="12.75" customHeight="1">
      <c r="A757" s="96"/>
    </row>
    <row r="758" ht="12.75" customHeight="1">
      <c r="A758" s="96"/>
    </row>
    <row r="759" ht="12.75" customHeight="1">
      <c r="A759" s="96"/>
    </row>
    <row r="760" ht="12.75" customHeight="1">
      <c r="A760" s="96"/>
    </row>
    <row r="761" ht="12.75" customHeight="1">
      <c r="A761" s="96"/>
    </row>
    <row r="762" ht="12.75" customHeight="1">
      <c r="A762" s="96"/>
    </row>
    <row r="763" ht="12.75" customHeight="1">
      <c r="A763" s="96"/>
    </row>
    <row r="764" ht="12.75" customHeight="1">
      <c r="A764" s="96"/>
    </row>
    <row r="765" ht="12.75" customHeight="1">
      <c r="A765" s="96"/>
    </row>
    <row r="766" ht="12.75" customHeight="1">
      <c r="A766" s="96"/>
    </row>
    <row r="767" ht="12.75" customHeight="1">
      <c r="A767" s="96"/>
    </row>
    <row r="768" ht="12.75" customHeight="1">
      <c r="A768" s="96"/>
    </row>
    <row r="769" ht="12.75" customHeight="1">
      <c r="A769" s="96"/>
    </row>
    <row r="770" ht="12.75" customHeight="1">
      <c r="A770" s="96"/>
    </row>
    <row r="771" ht="12.75" customHeight="1">
      <c r="A771" s="96"/>
    </row>
    <row r="772" ht="12.75" customHeight="1">
      <c r="A772" s="96"/>
    </row>
    <row r="773" ht="12.75" customHeight="1">
      <c r="A773" s="96"/>
    </row>
    <row r="774" ht="12.75" customHeight="1">
      <c r="A774" s="96"/>
    </row>
    <row r="775" ht="12.75" customHeight="1">
      <c r="A775" s="96"/>
    </row>
    <row r="776" ht="12.75" customHeight="1">
      <c r="A776" s="96"/>
    </row>
    <row r="777" ht="12.75" customHeight="1">
      <c r="A777" s="96"/>
    </row>
    <row r="778" ht="12.75" customHeight="1">
      <c r="A778" s="96"/>
    </row>
    <row r="779" ht="12.75" customHeight="1">
      <c r="A779" s="96"/>
    </row>
    <row r="780" ht="12.75" customHeight="1">
      <c r="A780" s="96"/>
    </row>
    <row r="781" ht="12.75" customHeight="1">
      <c r="A781" s="96"/>
    </row>
    <row r="782" ht="12.75" customHeight="1">
      <c r="A782" s="96"/>
    </row>
    <row r="783" ht="12.75" customHeight="1">
      <c r="A783" s="96"/>
    </row>
    <row r="784" ht="12.75" customHeight="1">
      <c r="A784" s="96"/>
    </row>
    <row r="785" ht="12.75" customHeight="1">
      <c r="A785" s="96"/>
    </row>
    <row r="786" ht="12.75" customHeight="1">
      <c r="A786" s="96"/>
    </row>
    <row r="787" ht="12.75" customHeight="1">
      <c r="A787" s="96"/>
    </row>
    <row r="788" ht="12.75" customHeight="1">
      <c r="A788" s="96"/>
    </row>
    <row r="789" ht="12.75" customHeight="1">
      <c r="A789" s="96"/>
    </row>
    <row r="790" ht="12.75" customHeight="1">
      <c r="A790" s="96"/>
    </row>
    <row r="791" ht="12.75" customHeight="1">
      <c r="A791" s="96"/>
    </row>
    <row r="792" ht="12.75" customHeight="1">
      <c r="A792" s="96"/>
    </row>
    <row r="793" ht="12.75" customHeight="1">
      <c r="A793" s="96"/>
    </row>
    <row r="794" ht="12.75" customHeight="1">
      <c r="A794" s="96"/>
    </row>
    <row r="795" ht="12.75" customHeight="1">
      <c r="A795" s="96"/>
    </row>
    <row r="796" ht="12.75" customHeight="1">
      <c r="A796" s="96"/>
    </row>
    <row r="797" ht="12.75" customHeight="1">
      <c r="A797" s="96"/>
    </row>
    <row r="798" ht="12.75" customHeight="1">
      <c r="A798" s="96"/>
    </row>
    <row r="799" ht="12.75" customHeight="1">
      <c r="A799" s="96"/>
    </row>
    <row r="800" ht="12.75" customHeight="1">
      <c r="A800" s="96"/>
    </row>
    <row r="801" ht="12.75" customHeight="1">
      <c r="A801" s="96"/>
    </row>
    <row r="802" ht="12.75" customHeight="1">
      <c r="A802" s="96"/>
    </row>
    <row r="803" ht="12.75" customHeight="1">
      <c r="A803" s="96"/>
    </row>
    <row r="804" ht="12.75" customHeight="1">
      <c r="A804" s="96"/>
    </row>
    <row r="805" ht="12.75" customHeight="1">
      <c r="A805" s="96"/>
    </row>
    <row r="806" ht="12.75" customHeight="1">
      <c r="A806" s="96"/>
    </row>
    <row r="807" ht="12.75" customHeight="1">
      <c r="A807" s="96"/>
    </row>
    <row r="808" ht="12.75" customHeight="1">
      <c r="A808" s="96"/>
    </row>
    <row r="809" ht="12.75" customHeight="1">
      <c r="A809" s="96"/>
    </row>
    <row r="810" ht="12.75" customHeight="1">
      <c r="A810" s="96"/>
    </row>
    <row r="811" ht="12.75" customHeight="1">
      <c r="A811" s="96"/>
    </row>
    <row r="812" ht="12.75" customHeight="1">
      <c r="A812" s="96"/>
    </row>
    <row r="813" ht="12.75" customHeight="1">
      <c r="A813" s="96"/>
    </row>
    <row r="814" ht="12.75" customHeight="1">
      <c r="A814" s="96"/>
    </row>
    <row r="815" ht="12.75" customHeight="1">
      <c r="A815" s="96"/>
    </row>
    <row r="816" ht="12.75" customHeight="1">
      <c r="A816" s="96"/>
    </row>
    <row r="817" ht="12.75" customHeight="1">
      <c r="A817" s="96"/>
    </row>
    <row r="818" ht="12.75" customHeight="1">
      <c r="A818" s="96"/>
    </row>
    <row r="819" ht="12.75" customHeight="1">
      <c r="A819" s="96"/>
    </row>
    <row r="820" ht="12.75" customHeight="1">
      <c r="A820" s="96"/>
    </row>
    <row r="821" ht="12.75" customHeight="1">
      <c r="A821" s="96"/>
    </row>
    <row r="822" ht="12.75" customHeight="1">
      <c r="A822" s="96"/>
    </row>
    <row r="823" ht="12.75" customHeight="1">
      <c r="A823" s="96"/>
    </row>
    <row r="824" ht="12.75" customHeight="1">
      <c r="A824" s="96"/>
    </row>
    <row r="825" ht="12.75" customHeight="1">
      <c r="A825" s="96"/>
    </row>
    <row r="826" ht="12.75" customHeight="1">
      <c r="A826" s="96"/>
    </row>
    <row r="827" ht="12.75" customHeight="1">
      <c r="A827" s="96"/>
    </row>
    <row r="828" ht="12.75" customHeight="1">
      <c r="A828" s="96"/>
    </row>
    <row r="829" ht="12.75" customHeight="1">
      <c r="A829" s="96"/>
    </row>
    <row r="830" ht="12.75" customHeight="1">
      <c r="A830" s="96"/>
    </row>
    <row r="831" ht="12.75" customHeight="1">
      <c r="A831" s="96"/>
    </row>
    <row r="832" ht="12.75" customHeight="1">
      <c r="A832" s="96"/>
    </row>
    <row r="833" ht="12.75" customHeight="1">
      <c r="A833" s="96"/>
    </row>
    <row r="834" ht="12.75" customHeight="1">
      <c r="A834" s="96"/>
    </row>
    <row r="835" ht="12.75" customHeight="1">
      <c r="A835" s="96"/>
    </row>
    <row r="836" ht="12.75" customHeight="1">
      <c r="A836" s="96"/>
    </row>
    <row r="837" ht="12.75" customHeight="1">
      <c r="A837" s="96"/>
    </row>
    <row r="838" ht="12.75" customHeight="1">
      <c r="A838" s="96"/>
    </row>
    <row r="839" ht="12.75" customHeight="1">
      <c r="A839" s="96"/>
    </row>
    <row r="840" ht="12.75" customHeight="1">
      <c r="A840" s="96"/>
    </row>
    <row r="841" ht="12.75" customHeight="1">
      <c r="A841" s="96"/>
    </row>
    <row r="842" ht="12.75" customHeight="1">
      <c r="A842" s="96"/>
    </row>
    <row r="843" ht="12.75" customHeight="1">
      <c r="A843" s="96"/>
    </row>
    <row r="844" ht="12.75" customHeight="1">
      <c r="A844" s="96"/>
    </row>
    <row r="845" ht="12.75" customHeight="1">
      <c r="A845" s="96"/>
    </row>
    <row r="846" ht="12.75" customHeight="1">
      <c r="A846" s="96"/>
    </row>
    <row r="847" ht="12.75" customHeight="1">
      <c r="A847" s="96"/>
    </row>
    <row r="848" ht="12.75" customHeight="1">
      <c r="A848" s="96"/>
    </row>
    <row r="849" ht="12.75" customHeight="1">
      <c r="A849" s="96"/>
    </row>
    <row r="850" ht="12.75" customHeight="1">
      <c r="A850" s="96"/>
    </row>
    <row r="851" ht="12.75" customHeight="1">
      <c r="A851" s="96"/>
    </row>
    <row r="852" ht="12.75" customHeight="1">
      <c r="A852" s="96"/>
    </row>
    <row r="853" ht="12.75" customHeight="1">
      <c r="A853" s="96"/>
    </row>
    <row r="854" ht="12.75" customHeight="1">
      <c r="A854" s="96"/>
    </row>
    <row r="855" ht="12.75" customHeight="1">
      <c r="A855" s="96"/>
    </row>
    <row r="856" ht="12.75" customHeight="1">
      <c r="A856" s="96"/>
    </row>
    <row r="857" ht="12.75" customHeight="1">
      <c r="A857" s="96"/>
    </row>
    <row r="858" ht="12.75" customHeight="1">
      <c r="A858" s="96"/>
    </row>
    <row r="859" ht="12.75" customHeight="1">
      <c r="A859" s="96"/>
    </row>
    <row r="860" ht="12.75" customHeight="1">
      <c r="A860" s="96"/>
    </row>
    <row r="861" ht="12.75" customHeight="1">
      <c r="A861" s="96"/>
    </row>
    <row r="862" ht="12.75" customHeight="1">
      <c r="A862" s="96"/>
    </row>
    <row r="863" ht="12.75" customHeight="1">
      <c r="A863" s="96"/>
    </row>
    <row r="864" ht="12.75" customHeight="1">
      <c r="A864" s="96"/>
    </row>
    <row r="865" ht="12.75" customHeight="1">
      <c r="A865" s="96"/>
    </row>
    <row r="866" ht="12.75" customHeight="1">
      <c r="A866" s="96"/>
    </row>
    <row r="867" ht="12.75" customHeight="1">
      <c r="A867" s="96"/>
    </row>
    <row r="868" ht="12.75" customHeight="1">
      <c r="A868" s="96"/>
    </row>
    <row r="869" ht="12.75" customHeight="1">
      <c r="A869" s="96"/>
    </row>
    <row r="870" ht="12.75" customHeight="1">
      <c r="A870" s="96"/>
    </row>
    <row r="871" ht="12.75" customHeight="1">
      <c r="A871" s="96"/>
    </row>
    <row r="872" ht="12.75" customHeight="1">
      <c r="A872" s="96"/>
    </row>
    <row r="873" ht="12.75" customHeight="1">
      <c r="A873" s="96"/>
    </row>
    <row r="874" ht="12.75" customHeight="1">
      <c r="A874" s="96"/>
    </row>
    <row r="875" ht="12.75" customHeight="1">
      <c r="A875" s="96"/>
    </row>
    <row r="876" ht="12.75" customHeight="1">
      <c r="A876" s="96"/>
    </row>
    <row r="877" ht="12.75" customHeight="1">
      <c r="A877" s="96"/>
    </row>
    <row r="878" ht="12.75" customHeight="1">
      <c r="A878" s="96"/>
    </row>
    <row r="879" ht="12.75" customHeight="1">
      <c r="A879" s="96"/>
    </row>
    <row r="880" ht="12.75" customHeight="1">
      <c r="A880" s="96"/>
    </row>
    <row r="881" ht="12.75" customHeight="1">
      <c r="A881" s="96"/>
    </row>
    <row r="882" ht="12.75" customHeight="1">
      <c r="A882" s="96"/>
    </row>
    <row r="883" ht="12.75" customHeight="1">
      <c r="A883" s="96"/>
    </row>
    <row r="884" ht="12.75" customHeight="1">
      <c r="A884" s="96"/>
    </row>
    <row r="885" ht="12.75" customHeight="1">
      <c r="A885" s="96"/>
    </row>
    <row r="886" ht="12.75" customHeight="1">
      <c r="A886" s="96"/>
    </row>
    <row r="887" ht="12.75" customHeight="1">
      <c r="A887" s="96"/>
    </row>
    <row r="888" ht="12.75" customHeight="1">
      <c r="A888" s="96"/>
    </row>
    <row r="889" ht="12.75" customHeight="1">
      <c r="A889" s="96"/>
    </row>
    <row r="890" ht="12.75" customHeight="1">
      <c r="A890" s="96"/>
    </row>
    <row r="891" ht="12.75" customHeight="1">
      <c r="A891" s="96"/>
    </row>
    <row r="892" ht="12.75" customHeight="1">
      <c r="A892" s="96"/>
    </row>
    <row r="893" ht="12.75" customHeight="1">
      <c r="A893" s="96"/>
    </row>
    <row r="894" ht="12.75" customHeight="1">
      <c r="A894" s="96"/>
    </row>
    <row r="895" ht="12.75" customHeight="1">
      <c r="A895" s="96"/>
    </row>
    <row r="896" ht="12.75" customHeight="1">
      <c r="A896" s="96"/>
    </row>
    <row r="897" ht="12.75" customHeight="1">
      <c r="A897" s="96"/>
    </row>
    <row r="898" ht="12.75" customHeight="1">
      <c r="A898" s="96"/>
    </row>
    <row r="899" ht="12.75" customHeight="1">
      <c r="A899" s="96"/>
    </row>
    <row r="900" ht="12.75" customHeight="1">
      <c r="A900" s="96"/>
    </row>
    <row r="901" ht="12.75" customHeight="1">
      <c r="A901" s="96"/>
    </row>
    <row r="902" ht="12.75" customHeight="1">
      <c r="A902" s="96"/>
    </row>
    <row r="903" ht="12.75" customHeight="1">
      <c r="A903" s="96"/>
    </row>
    <row r="904" ht="12.75" customHeight="1">
      <c r="A904" s="96"/>
    </row>
    <row r="905" ht="12.75" customHeight="1">
      <c r="A905" s="96"/>
    </row>
    <row r="906" ht="12.75" customHeight="1">
      <c r="A906" s="96"/>
    </row>
    <row r="907" ht="12.75" customHeight="1">
      <c r="A907" s="96"/>
    </row>
    <row r="908" ht="12.75" customHeight="1">
      <c r="A908" s="96"/>
    </row>
    <row r="909" ht="12.75" customHeight="1">
      <c r="A909" s="96"/>
    </row>
    <row r="910" ht="12.75" customHeight="1">
      <c r="A910" s="96"/>
    </row>
    <row r="911" ht="12.75" customHeight="1">
      <c r="A911" s="96"/>
    </row>
    <row r="912" ht="12.75" customHeight="1">
      <c r="A912" s="96"/>
    </row>
    <row r="913" ht="12.75" customHeight="1">
      <c r="A913" s="96"/>
    </row>
    <row r="914" ht="12.75" customHeight="1">
      <c r="A914" s="96"/>
    </row>
    <row r="915" ht="12.75" customHeight="1">
      <c r="A915" s="96"/>
    </row>
    <row r="916" ht="12.75" customHeight="1">
      <c r="A916" s="96"/>
    </row>
    <row r="917" ht="12.75" customHeight="1">
      <c r="A917" s="96"/>
    </row>
    <row r="918" ht="12.75" customHeight="1">
      <c r="A918" s="96"/>
    </row>
    <row r="919" ht="12.75" customHeight="1">
      <c r="A919" s="96"/>
    </row>
    <row r="920" ht="12.75" customHeight="1">
      <c r="A920" s="96"/>
    </row>
    <row r="921" ht="12.75" customHeight="1">
      <c r="A921" s="96"/>
    </row>
    <row r="922" ht="12.75" customHeight="1">
      <c r="A922" s="96"/>
    </row>
    <row r="923" ht="12.75" customHeight="1">
      <c r="A923" s="96"/>
    </row>
    <row r="924" ht="12.75" customHeight="1">
      <c r="A924" s="96"/>
    </row>
    <row r="925" ht="12.75" customHeight="1">
      <c r="A925" s="96"/>
    </row>
    <row r="926" ht="12.75" customHeight="1">
      <c r="A926" s="96"/>
    </row>
    <row r="927" ht="12.75" customHeight="1">
      <c r="A927" s="96"/>
    </row>
    <row r="928" ht="12.75" customHeight="1">
      <c r="A928" s="96"/>
    </row>
    <row r="929" ht="12.75" customHeight="1">
      <c r="A929" s="96"/>
    </row>
    <row r="930" ht="12.75" customHeight="1">
      <c r="A930" s="96"/>
    </row>
    <row r="931" ht="12.75" customHeight="1">
      <c r="A931" s="96"/>
    </row>
    <row r="932" ht="12.75" customHeight="1">
      <c r="A932" s="96"/>
    </row>
    <row r="933" ht="12.75" customHeight="1">
      <c r="A933" s="96"/>
    </row>
    <row r="934" ht="12.75" customHeight="1">
      <c r="A934" s="96"/>
    </row>
    <row r="935" ht="12.75" customHeight="1">
      <c r="A935" s="96"/>
    </row>
    <row r="936" ht="12.75" customHeight="1">
      <c r="A936" s="96"/>
    </row>
    <row r="937" ht="12.75" customHeight="1">
      <c r="A937" s="96"/>
    </row>
    <row r="938" ht="12.75" customHeight="1">
      <c r="A938" s="96"/>
    </row>
    <row r="939" ht="12.75" customHeight="1">
      <c r="A939" s="96"/>
    </row>
    <row r="940" ht="12.75" customHeight="1">
      <c r="A940" s="96"/>
    </row>
    <row r="941" ht="12.75" customHeight="1">
      <c r="A941" s="96"/>
    </row>
    <row r="942" ht="12.75" customHeight="1">
      <c r="A942" s="96"/>
    </row>
    <row r="943" ht="12.75" customHeight="1">
      <c r="A943" s="96"/>
    </row>
    <row r="944" ht="12.75" customHeight="1">
      <c r="A944" s="96"/>
    </row>
    <row r="945" ht="12.75" customHeight="1">
      <c r="A945" s="96"/>
    </row>
    <row r="946" ht="12.75" customHeight="1">
      <c r="A946" s="96"/>
    </row>
    <row r="947" ht="12.75" customHeight="1">
      <c r="A947" s="96"/>
    </row>
    <row r="948" ht="12.75" customHeight="1">
      <c r="A948" s="96"/>
    </row>
    <row r="949" ht="12.75" customHeight="1">
      <c r="A949" s="96"/>
    </row>
    <row r="950" ht="12.75" customHeight="1">
      <c r="A950" s="96"/>
    </row>
    <row r="951" ht="12.75" customHeight="1">
      <c r="A951" s="96"/>
    </row>
    <row r="952" ht="12.75" customHeight="1">
      <c r="A952" s="96"/>
    </row>
    <row r="953" ht="12.75" customHeight="1">
      <c r="A953" s="96"/>
    </row>
    <row r="954" ht="12.75" customHeight="1">
      <c r="A954" s="96"/>
    </row>
    <row r="955" ht="12.75" customHeight="1">
      <c r="A955" s="96"/>
    </row>
    <row r="956" ht="12.75" customHeight="1">
      <c r="A956" s="96"/>
    </row>
    <row r="957" ht="12.75" customHeight="1">
      <c r="A957" s="96"/>
    </row>
    <row r="958" ht="12.75" customHeight="1">
      <c r="A958" s="96"/>
    </row>
    <row r="959" ht="12.75" customHeight="1">
      <c r="A959" s="96"/>
    </row>
    <row r="960" ht="12.75" customHeight="1">
      <c r="A960" s="96"/>
    </row>
    <row r="961" ht="12.75" customHeight="1">
      <c r="A961" s="96"/>
    </row>
    <row r="962" ht="12.75" customHeight="1">
      <c r="A962" s="96"/>
    </row>
    <row r="963" ht="12.75" customHeight="1">
      <c r="A963" s="96"/>
    </row>
    <row r="964" ht="12.75" customHeight="1">
      <c r="A964" s="96"/>
    </row>
    <row r="965" ht="12.75" customHeight="1">
      <c r="A965" s="96"/>
    </row>
    <row r="966" ht="12.75" customHeight="1">
      <c r="A966" s="96"/>
    </row>
    <row r="967" ht="12.75" customHeight="1">
      <c r="A967" s="96"/>
    </row>
    <row r="968" ht="12.75" customHeight="1">
      <c r="A968" s="96"/>
    </row>
    <row r="969" ht="12.75" customHeight="1">
      <c r="A969" s="96"/>
    </row>
    <row r="970" ht="12.75" customHeight="1">
      <c r="A970" s="96"/>
    </row>
    <row r="971" ht="12.75" customHeight="1">
      <c r="A971" s="96"/>
    </row>
    <row r="972" ht="12.75" customHeight="1">
      <c r="A972" s="96"/>
    </row>
    <row r="973" ht="12.75" customHeight="1">
      <c r="A973" s="96"/>
    </row>
    <row r="974" ht="12.75" customHeight="1">
      <c r="A974" s="96"/>
    </row>
    <row r="975" ht="12.75" customHeight="1">
      <c r="A975" s="96"/>
    </row>
    <row r="976" ht="12.75" customHeight="1">
      <c r="A976" s="96"/>
    </row>
    <row r="977" ht="12.75" customHeight="1">
      <c r="A977" s="96"/>
    </row>
    <row r="978" ht="12.75" customHeight="1">
      <c r="A978" s="96"/>
    </row>
    <row r="979" ht="12.75" customHeight="1">
      <c r="A979" s="96"/>
    </row>
    <row r="980" ht="12.75" customHeight="1">
      <c r="A980" s="96"/>
    </row>
    <row r="981" ht="12.75" customHeight="1">
      <c r="A981" s="96"/>
    </row>
    <row r="982" ht="12.75" customHeight="1">
      <c r="A982" s="96"/>
    </row>
    <row r="983" ht="12.75" customHeight="1">
      <c r="A983" s="96"/>
    </row>
    <row r="984" ht="12.75" customHeight="1">
      <c r="A984" s="96"/>
    </row>
    <row r="985" ht="12.75" customHeight="1">
      <c r="A985" s="96"/>
    </row>
    <row r="986" ht="12.75" customHeight="1">
      <c r="A986" s="96"/>
    </row>
    <row r="987" ht="12.75" customHeight="1">
      <c r="A987" s="96"/>
    </row>
    <row r="988" ht="12.75" customHeight="1">
      <c r="A988" s="96"/>
    </row>
    <row r="989" ht="12.75" customHeight="1">
      <c r="A989" s="96"/>
    </row>
    <row r="990" ht="12.75" customHeight="1">
      <c r="A990" s="96"/>
    </row>
    <row r="991" ht="12.75" customHeight="1">
      <c r="A991" s="96"/>
    </row>
    <row r="992" ht="12.75" customHeight="1">
      <c r="A992" s="96"/>
    </row>
    <row r="993" ht="12.75" customHeight="1">
      <c r="A993" s="96"/>
    </row>
    <row r="994" ht="12.75" customHeight="1">
      <c r="A994" s="96"/>
    </row>
    <row r="995" ht="12.75" customHeight="1">
      <c r="A995" s="96"/>
    </row>
    <row r="996" ht="12.75" customHeight="1">
      <c r="A996" s="96"/>
    </row>
    <row r="997" ht="12.75" customHeight="1">
      <c r="A997" s="96"/>
    </row>
    <row r="998" ht="12.75" customHeight="1">
      <c r="A998" s="96"/>
    </row>
    <row r="999" ht="12.75" customHeight="1">
      <c r="A999" s="96"/>
    </row>
    <row r="1000" ht="12.75" customHeight="1">
      <c r="A1000" s="9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sheetData>
    <row r="1">
      <c r="A1" s="97" t="s">
        <v>170</v>
      </c>
      <c r="B1" s="97" t="s">
        <v>171</v>
      </c>
      <c r="C1" s="97" t="s">
        <v>172</v>
      </c>
      <c r="D1" s="97" t="s">
        <v>173</v>
      </c>
      <c r="E1" s="97" t="s">
        <v>174</v>
      </c>
      <c r="F1" s="97" t="s">
        <v>175</v>
      </c>
      <c r="G1" s="97" t="s">
        <v>176</v>
      </c>
      <c r="H1" s="97" t="s">
        <v>177</v>
      </c>
      <c r="I1" s="97" t="s">
        <v>178</v>
      </c>
      <c r="J1" s="97" t="s">
        <v>179</v>
      </c>
      <c r="K1" s="97" t="s">
        <v>180</v>
      </c>
      <c r="L1" s="97" t="s">
        <v>181</v>
      </c>
      <c r="M1" s="97" t="s">
        <v>182</v>
      </c>
      <c r="N1" s="97" t="s">
        <v>183</v>
      </c>
      <c r="O1" s="97" t="s">
        <v>184</v>
      </c>
      <c r="P1" s="97" t="s">
        <v>185</v>
      </c>
      <c r="Q1" s="97" t="s">
        <v>186</v>
      </c>
      <c r="R1" s="97" t="s">
        <v>187</v>
      </c>
      <c r="S1" s="97" t="s">
        <v>188</v>
      </c>
      <c r="T1" s="97" t="s">
        <v>189</v>
      </c>
      <c r="U1" s="97" t="s">
        <v>190</v>
      </c>
      <c r="V1" s="97" t="s">
        <v>191</v>
      </c>
      <c r="W1" s="97" t="s">
        <v>192</v>
      </c>
      <c r="X1" s="97" t="s">
        <v>193</v>
      </c>
      <c r="Y1" s="97" t="s">
        <v>194</v>
      </c>
      <c r="Z1" s="97" t="s">
        <v>195</v>
      </c>
      <c r="AA1" s="97" t="s">
        <v>196</v>
      </c>
      <c r="AB1" s="97" t="s">
        <v>197</v>
      </c>
    </row>
    <row r="2">
      <c r="A2" t="str">
        <f t="array" ref="A2:A50">INDIRECT('角色卡'!A17)</f>
        <v>狩人</v>
      </c>
      <c r="B2" t="str">
        <f t="array" ref="B2">INDIRECT('角色卡'!A18)</f>
        <v>#REF!</v>
      </c>
      <c r="C2" t="str">
        <f t="array" ref="C2">INDIRECT('角色卡'!A19)</f>
        <v>#REF!</v>
      </c>
      <c r="D2" t="str">
        <f t="array" ref="D2">INDIRECT('角色卡'!A20)</f>
        <v>#REF!</v>
      </c>
      <c r="E2" t="str">
        <f t="array" ref="E2">INDIRECT('角色卡'!A21)</f>
        <v>#REF!</v>
      </c>
      <c r="F2" t="str">
        <f t="array" ref="F2">INDIRECT('角色卡'!A22)</f>
        <v>#REF!</v>
      </c>
      <c r="G2" t="str">
        <f t="array" ref="G2">INDIRECT('角色卡'!A23)</f>
        <v>#REF!</v>
      </c>
      <c r="H2" t="str">
        <f t="array" ref="H2">INDIRECT('角色卡'!A24)</f>
        <v>#REF!</v>
      </c>
      <c r="I2" t="str">
        <f t="array" ref="I2">INDIRECT('角色卡'!A25)</f>
        <v>#REF!</v>
      </c>
      <c r="J2" t="str">
        <f t="array" ref="J2">INDIRECT('角色卡'!A26)</f>
        <v>#REF!</v>
      </c>
      <c r="K2" t="str">
        <f t="array" ref="K2">INDIRECT('角色卡'!A27)</f>
        <v>#REF!</v>
      </c>
      <c r="L2" t="str">
        <f t="array" ref="L2">INDIRECT('角色卡'!A28)</f>
        <v>#REF!</v>
      </c>
      <c r="M2" t="str">
        <f t="array" ref="M2">INDIRECT('角色卡'!A29)</f>
        <v>#REF!</v>
      </c>
      <c r="N2" t="str">
        <f t="array" ref="N2">INDIRECT('角色卡'!A30)</f>
        <v>#REF!</v>
      </c>
      <c r="O2" t="str">
        <f t="array" ref="O2">INDIRECT('角色卡'!A31)</f>
        <v>#REF!</v>
      </c>
      <c r="P2" t="str">
        <f t="array" ref="P2">INDIRECT('角色卡'!A32)</f>
        <v>#REF!</v>
      </c>
      <c r="Q2" t="str">
        <f t="array" ref="Q2">INDIRECT('角色卡'!A33)</f>
        <v>#REF!</v>
      </c>
      <c r="R2" t="str">
        <f t="array" ref="R2">INDIRECT('角色卡'!A34)</f>
        <v>#REF!</v>
      </c>
      <c r="S2" t="str">
        <f t="array" ref="S2">INDIRECT('角色卡'!A35)</f>
        <v>#REF!</v>
      </c>
      <c r="T2" t="str">
        <f t="array" ref="T2">INDIRECT('角色卡'!A36)</f>
        <v>#REF!</v>
      </c>
      <c r="U2" t="str">
        <f t="array" ref="U2">INDIRECT('角色卡'!A37)</f>
        <v>#REF!</v>
      </c>
      <c r="V2" s="97" t="str">
        <f t="array" ref="V2">INDIRECT('角色卡'!A38)</f>
        <v>#REF!</v>
      </c>
      <c r="W2" t="str">
        <f t="array" ref="W2">INDIRECT('角色卡'!A39)</f>
        <v>#REF!</v>
      </c>
      <c r="X2" t="str">
        <f t="array" ref="X2">INDIRECT('角色卡'!A40)</f>
        <v>#REF!</v>
      </c>
      <c r="Y2" t="str">
        <f t="array" ref="Y2">INDIRECT('角色卡'!A41)</f>
        <v>#REF!</v>
      </c>
      <c r="Z2" t="str">
        <f t="array" ref="Z2">INDIRECT('角色卡'!A42)</f>
        <v>#REF!</v>
      </c>
      <c r="AA2" t="str">
        <f t="array" ref="AA2">INDIRECT('角色卡'!A43)</f>
        <v>#REF!</v>
      </c>
      <c r="AB2" t="str">
        <f t="array" ref="AB2">INDIRECT('角色卡'!A44)</f>
        <v>#REF!</v>
      </c>
    </row>
    <row r="3">
      <c r="A3" t="s">
        <v>198</v>
      </c>
    </row>
    <row r="4">
      <c r="A4" t="s">
        <v>61</v>
      </c>
    </row>
    <row r="5">
      <c r="A5" t="s">
        <v>199</v>
      </c>
    </row>
    <row r="6">
      <c r="A6" t="s">
        <v>200</v>
      </c>
    </row>
    <row r="7">
      <c r="A7" t="s">
        <v>201</v>
      </c>
    </row>
    <row r="8">
      <c r="A8" t="s">
        <v>202</v>
      </c>
    </row>
    <row r="9">
      <c r="A9" t="s">
        <v>203</v>
      </c>
    </row>
    <row r="10">
      <c r="A10" t="s">
        <v>204</v>
      </c>
    </row>
    <row r="11">
      <c r="A11" t="s">
        <v>205</v>
      </c>
    </row>
    <row r="12">
      <c r="A12" t="s">
        <v>206</v>
      </c>
    </row>
    <row r="13">
      <c r="A13" t="s">
        <v>207</v>
      </c>
    </row>
    <row r="14">
      <c r="A14" t="s">
        <v>208</v>
      </c>
    </row>
    <row r="15">
      <c r="A15" t="s">
        <v>209</v>
      </c>
    </row>
    <row r="16">
      <c r="A16" t="s">
        <v>210</v>
      </c>
    </row>
    <row r="17">
      <c r="A17" t="s">
        <v>211</v>
      </c>
    </row>
    <row r="18">
      <c r="A18" t="s">
        <v>212</v>
      </c>
    </row>
    <row r="19">
      <c r="A19" t="s">
        <v>213</v>
      </c>
    </row>
    <row r="20">
      <c r="A20" t="s">
        <v>214</v>
      </c>
    </row>
    <row r="21">
      <c r="A21" t="s">
        <v>215</v>
      </c>
    </row>
    <row r="22">
      <c r="A22" t="s">
        <v>216</v>
      </c>
    </row>
    <row r="23">
      <c r="A23" t="s">
        <v>217</v>
      </c>
    </row>
    <row r="24">
      <c r="A24" t="s">
        <v>218</v>
      </c>
    </row>
    <row r="25">
      <c r="A25" t="s">
        <v>219</v>
      </c>
    </row>
    <row r="26">
      <c r="A26" t="s">
        <v>220</v>
      </c>
    </row>
    <row r="27">
      <c r="A27" t="s">
        <v>221</v>
      </c>
    </row>
    <row r="28">
      <c r="A28" s="94" t="s">
        <v>222</v>
      </c>
      <c r="B28" s="94"/>
      <c r="C28" s="94"/>
      <c r="D28" s="94"/>
      <c r="E28" s="94"/>
      <c r="F28" s="94"/>
      <c r="G28" s="94"/>
      <c r="H28" s="94"/>
      <c r="I28" s="94"/>
    </row>
    <row r="29">
      <c r="A29" t="s">
        <v>223</v>
      </c>
    </row>
    <row r="30">
      <c r="A30" t="s">
        <v>224</v>
      </c>
    </row>
    <row r="32">
      <c r="A32" t="s">
        <v>225</v>
      </c>
    </row>
    <row r="33">
      <c r="A33" t="s">
        <v>226</v>
      </c>
    </row>
    <row r="34">
      <c r="A34" t="s">
        <v>227</v>
      </c>
    </row>
    <row r="35">
      <c r="A35" t="s">
        <v>228</v>
      </c>
    </row>
    <row r="36">
      <c r="A36" t="s">
        <v>229</v>
      </c>
    </row>
    <row r="37">
      <c r="A37" t="s">
        <v>230</v>
      </c>
    </row>
    <row r="38">
      <c r="A38" t="s">
        <v>231</v>
      </c>
    </row>
    <row r="39">
      <c r="A39" t="s">
        <v>232</v>
      </c>
    </row>
    <row r="40">
      <c r="A40" t="s">
        <v>233</v>
      </c>
    </row>
    <row r="41">
      <c r="A41" t="s">
        <v>234</v>
      </c>
    </row>
    <row r="42">
      <c r="A42" t="s">
        <v>235</v>
      </c>
    </row>
    <row r="43">
      <c r="A43" t="s">
        <v>236</v>
      </c>
    </row>
    <row r="44">
      <c r="A44" t="s">
        <v>237</v>
      </c>
    </row>
    <row r="45">
      <c r="A45" t="s">
        <v>238</v>
      </c>
    </row>
    <row r="46">
      <c r="A46" t="s">
        <v>239</v>
      </c>
    </row>
    <row r="47">
      <c r="A47" t="s">
        <v>240</v>
      </c>
    </row>
    <row r="48">
      <c r="A48" t="s">
        <v>241</v>
      </c>
    </row>
    <row r="49">
      <c r="A49" t="s">
        <v>242</v>
      </c>
    </row>
    <row r="50">
      <c r="A50" t="s">
        <v>243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6.13"/>
    <col customWidth="1" min="2" max="4" width="8.75"/>
    <col customWidth="1" min="5" max="5" width="11.5"/>
    <col customWidth="1" min="6" max="8" width="8.75"/>
    <col customWidth="1" min="9" max="9" width="64.0"/>
    <col customWidth="1" min="10" max="10" width="8.75"/>
    <col customWidth="1" min="11" max="26" width="16.13"/>
  </cols>
  <sheetData>
    <row r="1" ht="14.25" customHeight="1">
      <c r="A1" s="95" t="s">
        <v>36</v>
      </c>
      <c r="B1" s="95" t="s">
        <v>244</v>
      </c>
      <c r="C1" s="95" t="s">
        <v>245</v>
      </c>
      <c r="D1" s="95" t="s">
        <v>37</v>
      </c>
      <c r="E1" s="98" t="s">
        <v>47</v>
      </c>
      <c r="F1" s="98" t="s">
        <v>246</v>
      </c>
      <c r="G1" s="95" t="s">
        <v>53</v>
      </c>
      <c r="H1" s="95" t="s">
        <v>247</v>
      </c>
      <c r="I1" s="98" t="s">
        <v>54</v>
      </c>
      <c r="J1" s="95" t="s">
        <v>248</v>
      </c>
      <c r="K1" s="95" t="s">
        <v>56</v>
      </c>
      <c r="L1" s="99"/>
      <c r="M1" s="99"/>
      <c r="N1" s="99"/>
      <c r="O1" s="99"/>
      <c r="P1" s="99"/>
      <c r="Q1" s="99"/>
      <c r="R1" s="99"/>
      <c r="S1" s="99"/>
      <c r="T1" s="99"/>
      <c r="U1" s="99"/>
      <c r="V1" s="99"/>
      <c r="W1" s="99"/>
      <c r="X1" s="99"/>
      <c r="Y1" s="99"/>
      <c r="Z1" s="99"/>
    </row>
    <row r="2" ht="14.25" customHeight="1">
      <c r="A2" s="95" t="s">
        <v>249</v>
      </c>
      <c r="B2" s="95" t="s">
        <v>250</v>
      </c>
      <c r="C2" s="95" t="s">
        <v>251</v>
      </c>
      <c r="D2" s="95" t="s">
        <v>252</v>
      </c>
      <c r="E2" s="95" t="s">
        <v>253</v>
      </c>
      <c r="F2" s="95" t="s">
        <v>254</v>
      </c>
      <c r="G2" s="95" t="s">
        <v>255</v>
      </c>
      <c r="H2" s="95" t="s">
        <v>256</v>
      </c>
      <c r="I2" s="95" t="s">
        <v>257</v>
      </c>
      <c r="J2" s="95" t="s">
        <v>258</v>
      </c>
      <c r="K2" s="95" t="s">
        <v>259</v>
      </c>
      <c r="L2" s="99"/>
      <c r="M2" s="99"/>
      <c r="N2" s="99"/>
      <c r="O2" s="99"/>
      <c r="P2" s="99"/>
      <c r="Q2" s="99"/>
      <c r="R2" s="99"/>
      <c r="S2" s="99"/>
      <c r="T2" s="99"/>
      <c r="U2" s="99"/>
      <c r="V2" s="99"/>
      <c r="W2" s="99"/>
      <c r="X2" s="99"/>
      <c r="Y2" s="99"/>
      <c r="Z2" s="99"/>
    </row>
    <row r="3" ht="14.25" customHeight="1">
      <c r="A3" s="95" t="s">
        <v>260</v>
      </c>
      <c r="B3" s="95" t="s">
        <v>261</v>
      </c>
      <c r="C3" s="95" t="s">
        <v>262</v>
      </c>
      <c r="D3" s="95" t="s">
        <v>263</v>
      </c>
      <c r="E3" s="95" t="s">
        <v>264</v>
      </c>
      <c r="F3" s="95" t="s">
        <v>254</v>
      </c>
      <c r="G3" s="95" t="s">
        <v>265</v>
      </c>
      <c r="H3" s="95" t="s">
        <v>266</v>
      </c>
      <c r="I3" s="95" t="s">
        <v>267</v>
      </c>
      <c r="J3" s="95" t="s">
        <v>268</v>
      </c>
      <c r="K3" s="95" t="s">
        <v>269</v>
      </c>
      <c r="L3" s="99"/>
      <c r="M3" s="99"/>
      <c r="N3" s="99"/>
      <c r="O3" s="99"/>
      <c r="P3" s="99"/>
      <c r="Q3" s="99"/>
      <c r="R3" s="99"/>
      <c r="S3" s="99"/>
      <c r="T3" s="99"/>
      <c r="U3" s="99"/>
      <c r="V3" s="99"/>
      <c r="W3" s="99"/>
      <c r="X3" s="99"/>
      <c r="Y3" s="99"/>
      <c r="Z3" s="99"/>
    </row>
    <row r="4" ht="14.25" customHeight="1">
      <c r="A4" s="95" t="s">
        <v>270</v>
      </c>
      <c r="B4" s="95" t="s">
        <v>271</v>
      </c>
      <c r="C4" s="95" t="s">
        <v>272</v>
      </c>
      <c r="D4" s="95" t="s">
        <v>263</v>
      </c>
      <c r="E4" s="95" t="s">
        <v>264</v>
      </c>
      <c r="F4" s="95" t="s">
        <v>254</v>
      </c>
      <c r="G4" s="95" t="s">
        <v>273</v>
      </c>
      <c r="H4" s="95" t="s">
        <v>274</v>
      </c>
      <c r="I4" s="95" t="s">
        <v>275</v>
      </c>
      <c r="J4" s="95" t="s">
        <v>276</v>
      </c>
      <c r="K4" s="99" t="s">
        <v>277</v>
      </c>
      <c r="L4" s="99"/>
      <c r="M4" s="99"/>
      <c r="N4" s="99"/>
      <c r="O4" s="99"/>
      <c r="P4" s="99"/>
      <c r="Q4" s="99"/>
      <c r="R4" s="99"/>
      <c r="S4" s="99"/>
      <c r="T4" s="99"/>
      <c r="U4" s="99"/>
      <c r="V4" s="99"/>
      <c r="W4" s="99"/>
      <c r="X4" s="99"/>
      <c r="Y4" s="99"/>
      <c r="Z4" s="99"/>
    </row>
    <row r="5" ht="14.25" customHeight="1">
      <c r="A5" s="95" t="s">
        <v>278</v>
      </c>
      <c r="B5" s="95" t="s">
        <v>279</v>
      </c>
      <c r="C5" s="95" t="s">
        <v>280</v>
      </c>
      <c r="D5" s="95" t="s">
        <v>281</v>
      </c>
      <c r="E5" s="95" t="s">
        <v>282</v>
      </c>
      <c r="F5" s="95" t="s">
        <v>254</v>
      </c>
      <c r="G5" s="95" t="s">
        <v>264</v>
      </c>
      <c r="H5" s="95" t="s">
        <v>283</v>
      </c>
      <c r="I5" s="95" t="s">
        <v>284</v>
      </c>
      <c r="J5" s="95" t="s">
        <v>285</v>
      </c>
      <c r="K5" s="95" t="s">
        <v>286</v>
      </c>
      <c r="L5" s="99"/>
      <c r="M5" s="99"/>
      <c r="N5" s="99"/>
      <c r="O5" s="99"/>
      <c r="P5" s="99"/>
      <c r="Q5" s="99"/>
      <c r="R5" s="99"/>
      <c r="S5" s="99"/>
      <c r="T5" s="99"/>
      <c r="U5" s="99"/>
      <c r="V5" s="99"/>
      <c r="W5" s="99"/>
      <c r="X5" s="99"/>
      <c r="Y5" s="99"/>
      <c r="Z5" s="99"/>
    </row>
    <row r="6" ht="14.25" customHeight="1">
      <c r="A6" s="95" t="s">
        <v>287</v>
      </c>
      <c r="B6" s="95" t="s">
        <v>288</v>
      </c>
      <c r="C6" s="95" t="s">
        <v>289</v>
      </c>
      <c r="D6" s="95" t="s">
        <v>290</v>
      </c>
      <c r="E6" s="95" t="s">
        <v>264</v>
      </c>
      <c r="F6" s="95" t="s">
        <v>254</v>
      </c>
      <c r="G6" s="95" t="s">
        <v>291</v>
      </c>
      <c r="H6" s="95" t="s">
        <v>292</v>
      </c>
      <c r="I6" s="95" t="s">
        <v>293</v>
      </c>
      <c r="J6" s="95" t="s">
        <v>254</v>
      </c>
      <c r="K6" s="95" t="s">
        <v>254</v>
      </c>
      <c r="L6" s="99"/>
      <c r="M6" s="99"/>
      <c r="N6" s="99"/>
      <c r="O6" s="99"/>
      <c r="P6" s="99"/>
      <c r="Q6" s="99"/>
      <c r="R6" s="99"/>
      <c r="S6" s="99"/>
      <c r="T6" s="99"/>
      <c r="U6" s="99"/>
      <c r="V6" s="99"/>
      <c r="W6" s="99"/>
      <c r="X6" s="99"/>
      <c r="Y6" s="99"/>
      <c r="Z6" s="99"/>
    </row>
    <row r="7" ht="14.25" customHeight="1">
      <c r="A7" s="95" t="s">
        <v>294</v>
      </c>
      <c r="B7" s="95" t="s">
        <v>295</v>
      </c>
      <c r="C7" s="95" t="s">
        <v>296</v>
      </c>
      <c r="D7" s="95" t="s">
        <v>263</v>
      </c>
      <c r="E7" s="95" t="s">
        <v>264</v>
      </c>
      <c r="F7" s="95" t="s">
        <v>254</v>
      </c>
      <c r="G7" s="95" t="s">
        <v>297</v>
      </c>
      <c r="H7" s="95" t="s">
        <v>298</v>
      </c>
      <c r="I7" s="95" t="s">
        <v>299</v>
      </c>
      <c r="J7" s="95" t="s">
        <v>254</v>
      </c>
      <c r="K7" s="95" t="s">
        <v>254</v>
      </c>
      <c r="L7" s="99"/>
      <c r="M7" s="99"/>
      <c r="N7" s="99"/>
      <c r="O7" s="99"/>
      <c r="P7" s="99"/>
      <c r="Q7" s="99"/>
      <c r="R7" s="99"/>
      <c r="S7" s="99"/>
      <c r="T7" s="99"/>
      <c r="U7" s="99"/>
      <c r="V7" s="99"/>
      <c r="W7" s="99"/>
      <c r="X7" s="99"/>
      <c r="Y7" s="99"/>
      <c r="Z7" s="99"/>
    </row>
    <row r="8" ht="14.25" customHeight="1">
      <c r="A8" s="95" t="s">
        <v>300</v>
      </c>
      <c r="B8" s="95" t="s">
        <v>301</v>
      </c>
      <c r="C8" s="95" t="s">
        <v>302</v>
      </c>
      <c r="D8" s="95" t="s">
        <v>281</v>
      </c>
      <c r="E8" s="95" t="s">
        <v>303</v>
      </c>
      <c r="F8" s="95" t="s">
        <v>254</v>
      </c>
      <c r="G8" s="95" t="s">
        <v>304</v>
      </c>
      <c r="H8" s="95" t="s">
        <v>305</v>
      </c>
      <c r="I8" s="95" t="s">
        <v>306</v>
      </c>
      <c r="J8" s="95" t="s">
        <v>254</v>
      </c>
      <c r="K8" s="95" t="s">
        <v>254</v>
      </c>
      <c r="L8" s="99"/>
      <c r="M8" s="99"/>
      <c r="N8" s="99"/>
      <c r="O8" s="99"/>
      <c r="P8" s="99"/>
      <c r="Q8" s="99"/>
      <c r="R8" s="99"/>
      <c r="S8" s="99"/>
      <c r="T8" s="99"/>
      <c r="U8" s="99"/>
      <c r="V8" s="99"/>
      <c r="W8" s="99"/>
      <c r="X8" s="99"/>
      <c r="Y8" s="99"/>
      <c r="Z8" s="99"/>
    </row>
    <row r="9" ht="14.25" customHeight="1">
      <c r="A9" s="95" t="s">
        <v>307</v>
      </c>
      <c r="B9" s="95" t="s">
        <v>308</v>
      </c>
      <c r="C9" s="95" t="s">
        <v>309</v>
      </c>
      <c r="D9" s="95" t="s">
        <v>281</v>
      </c>
      <c r="E9" s="95" t="s">
        <v>310</v>
      </c>
      <c r="F9" s="95" t="s">
        <v>254</v>
      </c>
      <c r="G9" s="95" t="s">
        <v>264</v>
      </c>
      <c r="H9" s="95" t="s">
        <v>311</v>
      </c>
      <c r="I9" s="95" t="s">
        <v>312</v>
      </c>
      <c r="J9" s="95" t="s">
        <v>254</v>
      </c>
      <c r="K9" s="95" t="s">
        <v>254</v>
      </c>
      <c r="L9" s="99"/>
      <c r="M9" s="99"/>
      <c r="N9" s="99"/>
      <c r="O9" s="99"/>
      <c r="P9" s="99"/>
      <c r="Q9" s="99"/>
      <c r="R9" s="99"/>
      <c r="S9" s="99"/>
      <c r="T9" s="99"/>
      <c r="U9" s="99"/>
      <c r="V9" s="99"/>
      <c r="W9" s="99"/>
      <c r="X9" s="99"/>
      <c r="Y9" s="99"/>
      <c r="Z9" s="99"/>
    </row>
    <row r="10" ht="14.25" customHeight="1">
      <c r="A10" s="95" t="s">
        <v>313</v>
      </c>
      <c r="B10" s="95" t="s">
        <v>314</v>
      </c>
      <c r="C10" s="95" t="s">
        <v>315</v>
      </c>
      <c r="D10" s="95" t="s">
        <v>263</v>
      </c>
      <c r="E10" s="95" t="s">
        <v>264</v>
      </c>
      <c r="F10" s="95" t="s">
        <v>254</v>
      </c>
      <c r="G10" s="95" t="s">
        <v>264</v>
      </c>
      <c r="H10" s="95" t="s">
        <v>316</v>
      </c>
      <c r="I10" s="95" t="s">
        <v>317</v>
      </c>
      <c r="J10" s="95" t="s">
        <v>254</v>
      </c>
      <c r="K10" s="95" t="s">
        <v>254</v>
      </c>
      <c r="L10" s="99"/>
      <c r="M10" s="99"/>
      <c r="N10" s="99"/>
      <c r="O10" s="99"/>
      <c r="P10" s="99"/>
      <c r="Q10" s="99"/>
      <c r="R10" s="99"/>
      <c r="S10" s="99"/>
      <c r="T10" s="99"/>
      <c r="U10" s="99"/>
      <c r="V10" s="99"/>
      <c r="W10" s="99"/>
      <c r="X10" s="99"/>
      <c r="Y10" s="99"/>
      <c r="Z10" s="99"/>
    </row>
    <row r="11" ht="14.25" customHeight="1">
      <c r="A11" s="95" t="s">
        <v>318</v>
      </c>
      <c r="B11" s="95" t="s">
        <v>319</v>
      </c>
      <c r="C11" s="95" t="s">
        <v>320</v>
      </c>
      <c r="D11" s="95" t="s">
        <v>321</v>
      </c>
      <c r="E11" s="95" t="s">
        <v>264</v>
      </c>
      <c r="F11" s="95" t="s">
        <v>254</v>
      </c>
      <c r="G11" s="95" t="s">
        <v>322</v>
      </c>
      <c r="H11" s="95" t="s">
        <v>323</v>
      </c>
      <c r="I11" s="95" t="s">
        <v>324</v>
      </c>
      <c r="J11" s="95" t="s">
        <v>254</v>
      </c>
      <c r="K11" s="95" t="s">
        <v>254</v>
      </c>
      <c r="L11" s="99"/>
      <c r="M11" s="99"/>
      <c r="N11" s="99"/>
      <c r="O11" s="99"/>
      <c r="P11" s="99"/>
      <c r="Q11" s="99"/>
      <c r="R11" s="99"/>
      <c r="S11" s="99"/>
      <c r="T11" s="99"/>
      <c r="U11" s="99"/>
      <c r="V11" s="99"/>
      <c r="W11" s="99"/>
      <c r="X11" s="99"/>
      <c r="Y11" s="99"/>
      <c r="Z11" s="99"/>
    </row>
    <row r="12" ht="14.25" customHeight="1">
      <c r="A12" s="95" t="s">
        <v>325</v>
      </c>
      <c r="B12" s="95" t="s">
        <v>326</v>
      </c>
      <c r="C12" s="95" t="s">
        <v>327</v>
      </c>
      <c r="D12" s="95" t="s">
        <v>281</v>
      </c>
      <c r="E12" s="95" t="s">
        <v>264</v>
      </c>
      <c r="F12" s="95" t="s">
        <v>254</v>
      </c>
      <c r="G12" s="95" t="s">
        <v>328</v>
      </c>
      <c r="H12" s="95" t="s">
        <v>329</v>
      </c>
      <c r="I12" s="95" t="s">
        <v>330</v>
      </c>
      <c r="J12" s="95" t="s">
        <v>254</v>
      </c>
      <c r="K12" s="95" t="s">
        <v>254</v>
      </c>
      <c r="L12" s="99"/>
      <c r="M12" s="99"/>
      <c r="N12" s="99"/>
      <c r="O12" s="99"/>
      <c r="P12" s="99"/>
      <c r="Q12" s="99"/>
      <c r="R12" s="99"/>
      <c r="S12" s="99"/>
      <c r="T12" s="99"/>
      <c r="U12" s="99"/>
      <c r="V12" s="99"/>
      <c r="W12" s="99"/>
      <c r="X12" s="99"/>
      <c r="Y12" s="99"/>
      <c r="Z12" s="99"/>
    </row>
    <row r="13" ht="14.25" customHeight="1">
      <c r="A13" s="95" t="s">
        <v>331</v>
      </c>
      <c r="B13" s="95" t="s">
        <v>332</v>
      </c>
      <c r="C13" s="95" t="s">
        <v>333</v>
      </c>
      <c r="D13" s="95" t="s">
        <v>252</v>
      </c>
      <c r="E13" s="95" t="s">
        <v>264</v>
      </c>
      <c r="F13" s="95" t="s">
        <v>254</v>
      </c>
      <c r="G13" s="95" t="s">
        <v>334</v>
      </c>
      <c r="H13" s="95" t="s">
        <v>335</v>
      </c>
      <c r="I13" s="95" t="s">
        <v>336</v>
      </c>
      <c r="J13" s="95" t="s">
        <v>254</v>
      </c>
      <c r="K13" s="95" t="s">
        <v>254</v>
      </c>
      <c r="L13" s="99"/>
      <c r="M13" s="99"/>
      <c r="N13" s="99"/>
      <c r="O13" s="99"/>
      <c r="P13" s="99"/>
      <c r="Q13" s="99"/>
      <c r="R13" s="99"/>
      <c r="S13" s="99"/>
      <c r="T13" s="99"/>
      <c r="U13" s="99"/>
      <c r="V13" s="99"/>
      <c r="W13" s="99"/>
      <c r="X13" s="99"/>
      <c r="Y13" s="99"/>
      <c r="Z13" s="99"/>
    </row>
    <row r="14" ht="14.25" customHeight="1">
      <c r="A14" s="95" t="s">
        <v>337</v>
      </c>
      <c r="B14" s="95" t="s">
        <v>338</v>
      </c>
      <c r="C14" s="95" t="s">
        <v>339</v>
      </c>
      <c r="D14" s="95" t="s">
        <v>263</v>
      </c>
      <c r="E14" s="95" t="s">
        <v>264</v>
      </c>
      <c r="F14" s="95" t="s">
        <v>340</v>
      </c>
      <c r="G14" s="95" t="s">
        <v>341</v>
      </c>
      <c r="H14" s="95" t="s">
        <v>342</v>
      </c>
      <c r="I14" s="95" t="s">
        <v>343</v>
      </c>
      <c r="J14" s="95" t="s">
        <v>254</v>
      </c>
      <c r="K14" s="95" t="s">
        <v>254</v>
      </c>
      <c r="L14" s="99"/>
      <c r="M14" s="99"/>
      <c r="N14" s="99"/>
      <c r="O14" s="99"/>
      <c r="P14" s="99"/>
      <c r="Q14" s="99"/>
      <c r="R14" s="99"/>
      <c r="S14" s="99"/>
      <c r="T14" s="99"/>
      <c r="U14" s="99"/>
      <c r="V14" s="99"/>
      <c r="W14" s="99"/>
      <c r="X14" s="99"/>
      <c r="Y14" s="99"/>
      <c r="Z14" s="99"/>
    </row>
    <row r="15" ht="14.25" customHeight="1">
      <c r="A15" s="95" t="s">
        <v>344</v>
      </c>
      <c r="B15" s="95" t="s">
        <v>345</v>
      </c>
      <c r="C15" s="95" t="s">
        <v>346</v>
      </c>
      <c r="D15" s="95" t="s">
        <v>263</v>
      </c>
      <c r="E15" s="95" t="s">
        <v>264</v>
      </c>
      <c r="F15" s="95" t="s">
        <v>254</v>
      </c>
      <c r="G15" s="95" t="s">
        <v>347</v>
      </c>
      <c r="H15" s="95" t="s">
        <v>348</v>
      </c>
      <c r="I15" s="95" t="s">
        <v>349</v>
      </c>
      <c r="J15" s="95" t="s">
        <v>254</v>
      </c>
      <c r="K15" s="95" t="s">
        <v>254</v>
      </c>
      <c r="L15" s="99"/>
      <c r="M15" s="99"/>
      <c r="N15" s="99"/>
      <c r="O15" s="99"/>
      <c r="P15" s="99"/>
      <c r="Q15" s="99"/>
      <c r="R15" s="99"/>
      <c r="S15" s="99"/>
      <c r="T15" s="99"/>
      <c r="U15" s="99"/>
      <c r="V15" s="99"/>
      <c r="W15" s="99"/>
      <c r="X15" s="99"/>
      <c r="Y15" s="99"/>
      <c r="Z15" s="99"/>
    </row>
    <row r="16" ht="14.25" customHeight="1">
      <c r="A16" s="95" t="s">
        <v>350</v>
      </c>
      <c r="B16" s="95" t="s">
        <v>351</v>
      </c>
      <c r="C16" s="95" t="s">
        <v>352</v>
      </c>
      <c r="D16" s="95" t="s">
        <v>263</v>
      </c>
      <c r="E16" s="95" t="s">
        <v>264</v>
      </c>
      <c r="F16" s="95" t="s">
        <v>353</v>
      </c>
      <c r="G16" s="95" t="s">
        <v>354</v>
      </c>
      <c r="H16" s="95" t="s">
        <v>355</v>
      </c>
      <c r="I16" s="95" t="s">
        <v>356</v>
      </c>
      <c r="J16" s="95" t="s">
        <v>254</v>
      </c>
      <c r="K16" s="95" t="s">
        <v>254</v>
      </c>
      <c r="L16" s="99"/>
      <c r="M16" s="99"/>
      <c r="N16" s="99"/>
      <c r="O16" s="99"/>
      <c r="P16" s="99"/>
      <c r="Q16" s="99"/>
      <c r="R16" s="99"/>
      <c r="S16" s="99"/>
      <c r="T16" s="99"/>
      <c r="U16" s="99"/>
      <c r="V16" s="99"/>
      <c r="W16" s="99"/>
      <c r="X16" s="99"/>
      <c r="Y16" s="99"/>
      <c r="Z16" s="99"/>
    </row>
    <row r="17" ht="14.25" customHeight="1">
      <c r="A17" s="95" t="s">
        <v>357</v>
      </c>
      <c r="B17" s="95" t="s">
        <v>358</v>
      </c>
      <c r="C17" s="95" t="s">
        <v>359</v>
      </c>
      <c r="D17" s="95" t="s">
        <v>263</v>
      </c>
      <c r="E17" s="95" t="s">
        <v>264</v>
      </c>
      <c r="F17" s="95" t="s">
        <v>360</v>
      </c>
      <c r="G17" s="95" t="s">
        <v>354</v>
      </c>
      <c r="H17" s="95" t="s">
        <v>361</v>
      </c>
      <c r="I17" s="95" t="s">
        <v>362</v>
      </c>
      <c r="J17" s="95" t="s">
        <v>254</v>
      </c>
      <c r="K17" s="95" t="s">
        <v>254</v>
      </c>
      <c r="L17" s="99"/>
      <c r="M17" s="99"/>
      <c r="N17" s="99"/>
      <c r="O17" s="99"/>
      <c r="P17" s="99"/>
      <c r="Q17" s="99"/>
      <c r="R17" s="99"/>
      <c r="S17" s="99"/>
      <c r="T17" s="99"/>
      <c r="U17" s="99"/>
      <c r="V17" s="99"/>
      <c r="W17" s="99"/>
      <c r="X17" s="99"/>
      <c r="Y17" s="99"/>
      <c r="Z17" s="99"/>
    </row>
    <row r="18" ht="14.25" customHeight="1">
      <c r="A18" s="95" t="s">
        <v>363</v>
      </c>
      <c r="B18" s="95" t="s">
        <v>364</v>
      </c>
      <c r="C18" s="95" t="s">
        <v>365</v>
      </c>
      <c r="D18" s="95" t="s">
        <v>263</v>
      </c>
      <c r="E18" s="95" t="s">
        <v>264</v>
      </c>
      <c r="F18" s="95" t="s">
        <v>254</v>
      </c>
      <c r="G18" s="95" t="s">
        <v>264</v>
      </c>
      <c r="H18" s="95" t="s">
        <v>366</v>
      </c>
      <c r="I18" s="95" t="s">
        <v>367</v>
      </c>
      <c r="J18" s="95" t="s">
        <v>254</v>
      </c>
      <c r="K18" s="95" t="s">
        <v>254</v>
      </c>
      <c r="L18" s="99"/>
      <c r="M18" s="99"/>
      <c r="N18" s="99"/>
      <c r="O18" s="99"/>
      <c r="P18" s="99"/>
      <c r="Q18" s="99"/>
      <c r="R18" s="99"/>
      <c r="S18" s="99"/>
      <c r="T18" s="99"/>
      <c r="U18" s="99"/>
      <c r="V18" s="99"/>
      <c r="W18" s="99"/>
      <c r="X18" s="99"/>
      <c r="Y18" s="99"/>
      <c r="Z18" s="99"/>
    </row>
    <row r="19" ht="14.25" customHeight="1">
      <c r="A19" s="95" t="s">
        <v>368</v>
      </c>
      <c r="B19" s="95" t="s">
        <v>369</v>
      </c>
      <c r="C19" s="95" t="s">
        <v>370</v>
      </c>
      <c r="D19" s="95" t="s">
        <v>263</v>
      </c>
      <c r="E19" s="95" t="s">
        <v>264</v>
      </c>
      <c r="F19" s="95" t="s">
        <v>254</v>
      </c>
      <c r="G19" s="95" t="s">
        <v>264</v>
      </c>
      <c r="H19" s="95" t="s">
        <v>371</v>
      </c>
      <c r="I19" s="95" t="s">
        <v>372</v>
      </c>
      <c r="J19" s="95" t="s">
        <v>254</v>
      </c>
      <c r="K19" s="95" t="s">
        <v>254</v>
      </c>
      <c r="L19" s="99"/>
      <c r="M19" s="99"/>
      <c r="N19" s="99"/>
      <c r="O19" s="99"/>
      <c r="P19" s="99"/>
      <c r="Q19" s="99"/>
      <c r="R19" s="99"/>
      <c r="S19" s="99"/>
      <c r="T19" s="99"/>
      <c r="U19" s="99"/>
      <c r="V19" s="99"/>
      <c r="W19" s="99"/>
      <c r="X19" s="99"/>
      <c r="Y19" s="99"/>
      <c r="Z19" s="99"/>
    </row>
    <row r="20" ht="14.25" customHeight="1">
      <c r="A20" s="95" t="s">
        <v>373</v>
      </c>
      <c r="B20" s="95" t="s">
        <v>374</v>
      </c>
      <c r="C20" s="95" t="s">
        <v>375</v>
      </c>
      <c r="D20" s="95" t="s">
        <v>263</v>
      </c>
      <c r="E20" s="95" t="s">
        <v>376</v>
      </c>
      <c r="F20" s="95" t="s">
        <v>254</v>
      </c>
      <c r="G20" s="95" t="s">
        <v>377</v>
      </c>
      <c r="H20" s="95" t="s">
        <v>378</v>
      </c>
      <c r="I20" s="95" t="s">
        <v>379</v>
      </c>
      <c r="J20" s="95" t="s">
        <v>254</v>
      </c>
      <c r="K20" s="95" t="s">
        <v>254</v>
      </c>
      <c r="L20" s="99"/>
      <c r="M20" s="99"/>
      <c r="N20" s="99"/>
      <c r="O20" s="99"/>
      <c r="P20" s="99"/>
      <c r="Q20" s="99"/>
      <c r="R20" s="99"/>
      <c r="S20" s="99"/>
      <c r="T20" s="99"/>
      <c r="U20" s="99"/>
      <c r="V20" s="99"/>
      <c r="W20" s="99"/>
      <c r="X20" s="99"/>
      <c r="Y20" s="99"/>
      <c r="Z20" s="99"/>
    </row>
    <row r="21" ht="14.25" customHeight="1">
      <c r="A21" s="95" t="s">
        <v>380</v>
      </c>
      <c r="B21" s="95" t="s">
        <v>381</v>
      </c>
      <c r="C21" s="95" t="s">
        <v>382</v>
      </c>
      <c r="D21" s="95" t="s">
        <v>263</v>
      </c>
      <c r="E21" s="95" t="s">
        <v>264</v>
      </c>
      <c r="F21" s="95" t="s">
        <v>254</v>
      </c>
      <c r="G21" s="95" t="s">
        <v>291</v>
      </c>
      <c r="H21" s="95" t="s">
        <v>292</v>
      </c>
      <c r="I21" s="95" t="s">
        <v>383</v>
      </c>
      <c r="J21" s="95" t="s">
        <v>384</v>
      </c>
      <c r="K21" s="95" t="s">
        <v>385</v>
      </c>
      <c r="L21" s="99"/>
      <c r="M21" s="99"/>
      <c r="N21" s="99"/>
      <c r="O21" s="99"/>
      <c r="P21" s="99"/>
      <c r="Q21" s="99"/>
      <c r="R21" s="99"/>
      <c r="S21" s="99"/>
      <c r="T21" s="99"/>
      <c r="U21" s="99"/>
      <c r="V21" s="99"/>
      <c r="W21" s="99"/>
      <c r="X21" s="99"/>
      <c r="Y21" s="99"/>
      <c r="Z21" s="99"/>
    </row>
    <row r="22" ht="14.25" customHeight="1">
      <c r="A22" s="95" t="s">
        <v>386</v>
      </c>
      <c r="B22" s="95" t="s">
        <v>387</v>
      </c>
      <c r="C22" s="95" t="s">
        <v>388</v>
      </c>
      <c r="D22" s="95" t="s">
        <v>263</v>
      </c>
      <c r="E22" s="95" t="s">
        <v>264</v>
      </c>
      <c r="F22" s="95" t="s">
        <v>254</v>
      </c>
      <c r="G22" s="95" t="s">
        <v>389</v>
      </c>
      <c r="H22" s="95" t="s">
        <v>390</v>
      </c>
      <c r="I22" s="95" t="s">
        <v>391</v>
      </c>
      <c r="J22" s="95" t="s">
        <v>392</v>
      </c>
      <c r="K22" s="95" t="s">
        <v>393</v>
      </c>
      <c r="L22" s="99"/>
      <c r="M22" s="99"/>
      <c r="N22" s="99"/>
      <c r="O22" s="99"/>
      <c r="P22" s="99"/>
      <c r="Q22" s="99"/>
      <c r="R22" s="99"/>
      <c r="S22" s="99"/>
      <c r="T22" s="99"/>
      <c r="U22" s="99"/>
      <c r="V22" s="99"/>
      <c r="W22" s="99"/>
      <c r="X22" s="99"/>
      <c r="Y22" s="99"/>
      <c r="Z22" s="99"/>
    </row>
    <row r="23" ht="14.25" customHeight="1">
      <c r="A23" s="95" t="s">
        <v>394</v>
      </c>
      <c r="B23" s="95" t="s">
        <v>395</v>
      </c>
      <c r="C23" s="95" t="s">
        <v>396</v>
      </c>
      <c r="D23" s="95" t="s">
        <v>263</v>
      </c>
      <c r="E23" s="95" t="s">
        <v>264</v>
      </c>
      <c r="F23" s="95" t="s">
        <v>397</v>
      </c>
      <c r="G23" s="95" t="s">
        <v>398</v>
      </c>
      <c r="H23" s="95" t="s">
        <v>399</v>
      </c>
      <c r="I23" s="95" t="s">
        <v>400</v>
      </c>
      <c r="J23" s="95" t="s">
        <v>254</v>
      </c>
      <c r="K23" s="95" t="s">
        <v>254</v>
      </c>
      <c r="L23" s="99"/>
      <c r="M23" s="99"/>
      <c r="N23" s="99"/>
      <c r="O23" s="99"/>
      <c r="P23" s="99"/>
      <c r="Q23" s="99"/>
      <c r="R23" s="99"/>
      <c r="S23" s="99"/>
      <c r="T23" s="99"/>
      <c r="U23" s="99"/>
      <c r="V23" s="99"/>
      <c r="W23" s="99"/>
      <c r="X23" s="99"/>
      <c r="Y23" s="99"/>
      <c r="Z23" s="99"/>
    </row>
    <row r="24" ht="14.25" customHeight="1">
      <c r="A24" s="95" t="s">
        <v>401</v>
      </c>
      <c r="B24" s="95" t="s">
        <v>402</v>
      </c>
      <c r="C24" s="95" t="s">
        <v>403</v>
      </c>
      <c r="D24" s="95" t="s">
        <v>263</v>
      </c>
      <c r="E24" s="95" t="s">
        <v>264</v>
      </c>
      <c r="F24" s="95" t="s">
        <v>404</v>
      </c>
      <c r="G24" s="95" t="s">
        <v>405</v>
      </c>
      <c r="H24" s="95" t="s">
        <v>406</v>
      </c>
      <c r="I24" s="95" t="s">
        <v>407</v>
      </c>
      <c r="J24" s="95" t="s">
        <v>254</v>
      </c>
      <c r="K24" s="95" t="s">
        <v>254</v>
      </c>
      <c r="L24" s="99"/>
      <c r="M24" s="99"/>
      <c r="N24" s="99"/>
      <c r="O24" s="99"/>
      <c r="P24" s="99"/>
      <c r="Q24" s="99"/>
      <c r="R24" s="99"/>
      <c r="S24" s="99"/>
      <c r="T24" s="99"/>
      <c r="U24" s="99"/>
      <c r="V24" s="99"/>
      <c r="W24" s="99"/>
      <c r="X24" s="99"/>
      <c r="Y24" s="99"/>
      <c r="Z24" s="99"/>
    </row>
    <row r="25" ht="14.25" customHeight="1">
      <c r="A25" s="95" t="s">
        <v>408</v>
      </c>
      <c r="B25" s="95" t="s">
        <v>409</v>
      </c>
      <c r="C25" s="95" t="s">
        <v>410</v>
      </c>
      <c r="D25" s="95" t="s">
        <v>263</v>
      </c>
      <c r="E25" s="95" t="s">
        <v>264</v>
      </c>
      <c r="F25" s="95" t="s">
        <v>411</v>
      </c>
      <c r="G25" s="95" t="s">
        <v>412</v>
      </c>
      <c r="H25" s="95" t="s">
        <v>413</v>
      </c>
      <c r="I25" s="95" t="s">
        <v>414</v>
      </c>
      <c r="J25" s="95" t="s">
        <v>254</v>
      </c>
      <c r="K25" s="95" t="s">
        <v>254</v>
      </c>
      <c r="L25" s="99"/>
      <c r="M25" s="99"/>
      <c r="N25" s="99"/>
      <c r="O25" s="99"/>
      <c r="P25" s="99"/>
      <c r="Q25" s="99"/>
      <c r="R25" s="99"/>
      <c r="S25" s="99"/>
      <c r="T25" s="99"/>
      <c r="U25" s="99"/>
      <c r="V25" s="99"/>
      <c r="W25" s="99"/>
      <c r="X25" s="99"/>
      <c r="Y25" s="99"/>
      <c r="Z25" s="99"/>
    </row>
    <row r="26" ht="14.25" customHeight="1">
      <c r="A26" s="95" t="s">
        <v>415</v>
      </c>
      <c r="B26" s="95" t="s">
        <v>416</v>
      </c>
      <c r="C26" s="95" t="s">
        <v>417</v>
      </c>
      <c r="D26" s="95" t="s">
        <v>263</v>
      </c>
      <c r="E26" s="95" t="s">
        <v>264</v>
      </c>
      <c r="F26" s="95" t="s">
        <v>254</v>
      </c>
      <c r="G26" s="95" t="s">
        <v>264</v>
      </c>
      <c r="H26" s="95" t="s">
        <v>418</v>
      </c>
      <c r="I26" s="95" t="s">
        <v>419</v>
      </c>
      <c r="J26" s="95" t="s">
        <v>254</v>
      </c>
      <c r="K26" s="95" t="s">
        <v>254</v>
      </c>
      <c r="L26" s="99"/>
      <c r="M26" s="99"/>
      <c r="N26" s="99"/>
      <c r="O26" s="99"/>
      <c r="P26" s="99"/>
      <c r="Q26" s="99"/>
      <c r="R26" s="99"/>
      <c r="S26" s="99"/>
      <c r="T26" s="99"/>
      <c r="U26" s="99"/>
      <c r="V26" s="99"/>
      <c r="W26" s="99"/>
      <c r="X26" s="99"/>
      <c r="Y26" s="99"/>
      <c r="Z26" s="99"/>
    </row>
    <row r="27" ht="14.25" customHeight="1">
      <c r="A27" s="95" t="s">
        <v>420</v>
      </c>
      <c r="B27" s="95" t="s">
        <v>421</v>
      </c>
      <c r="C27" s="95" t="s">
        <v>422</v>
      </c>
      <c r="D27" s="95" t="s">
        <v>263</v>
      </c>
      <c r="E27" s="95" t="s">
        <v>264</v>
      </c>
      <c r="F27" s="95" t="s">
        <v>254</v>
      </c>
      <c r="G27" s="95" t="s">
        <v>264</v>
      </c>
      <c r="H27" s="95" t="s">
        <v>423</v>
      </c>
      <c r="I27" s="95" t="s">
        <v>424</v>
      </c>
      <c r="J27" s="95" t="s">
        <v>254</v>
      </c>
      <c r="K27" s="95" t="s">
        <v>254</v>
      </c>
      <c r="L27" s="99"/>
      <c r="M27" s="99"/>
      <c r="N27" s="99"/>
      <c r="O27" s="99"/>
      <c r="P27" s="99"/>
      <c r="Q27" s="99"/>
      <c r="R27" s="99"/>
      <c r="S27" s="99"/>
      <c r="T27" s="99"/>
      <c r="U27" s="99"/>
      <c r="V27" s="99"/>
      <c r="W27" s="99"/>
      <c r="X27" s="99"/>
      <c r="Y27" s="99"/>
      <c r="Z27" s="99"/>
    </row>
    <row r="28" ht="57.0" customHeight="1">
      <c r="A28" s="95" t="s">
        <v>425</v>
      </c>
      <c r="B28" s="95" t="s">
        <v>426</v>
      </c>
      <c r="C28" s="95" t="s">
        <v>427</v>
      </c>
      <c r="D28" s="95" t="s">
        <v>263</v>
      </c>
      <c r="E28" s="95" t="s">
        <v>264</v>
      </c>
      <c r="F28" s="95" t="s">
        <v>254</v>
      </c>
      <c r="G28" s="95" t="s">
        <v>428</v>
      </c>
      <c r="H28" s="95" t="s">
        <v>429</v>
      </c>
      <c r="I28" s="100" t="s">
        <v>430</v>
      </c>
      <c r="J28" s="95" t="s">
        <v>254</v>
      </c>
      <c r="K28" s="95" t="s">
        <v>254</v>
      </c>
      <c r="L28" s="99"/>
      <c r="M28" s="99"/>
      <c r="N28" s="99"/>
      <c r="O28" s="99"/>
      <c r="P28" s="99"/>
      <c r="Q28" s="99"/>
      <c r="R28" s="99"/>
      <c r="S28" s="99"/>
      <c r="T28" s="99"/>
      <c r="U28" s="99"/>
      <c r="V28" s="99"/>
      <c r="W28" s="99"/>
      <c r="X28" s="99"/>
      <c r="Y28" s="99"/>
      <c r="Z28" s="99"/>
    </row>
    <row r="29" ht="14.25" customHeight="1">
      <c r="A29" s="95" t="s">
        <v>431</v>
      </c>
      <c r="B29" s="95" t="s">
        <v>432</v>
      </c>
      <c r="C29" s="95" t="s">
        <v>433</v>
      </c>
      <c r="D29" s="95" t="s">
        <v>263</v>
      </c>
      <c r="E29" s="95" t="s">
        <v>264</v>
      </c>
      <c r="F29" s="95" t="s">
        <v>254</v>
      </c>
      <c r="G29" s="95" t="s">
        <v>434</v>
      </c>
      <c r="H29" s="95" t="s">
        <v>435</v>
      </c>
      <c r="I29" s="95" t="s">
        <v>436</v>
      </c>
      <c r="J29" s="95" t="s">
        <v>254</v>
      </c>
      <c r="K29" s="95" t="s">
        <v>254</v>
      </c>
      <c r="L29" s="99"/>
      <c r="M29" s="99"/>
      <c r="N29" s="99"/>
      <c r="O29" s="99"/>
      <c r="P29" s="99"/>
      <c r="Q29" s="99"/>
      <c r="R29" s="99"/>
      <c r="S29" s="99"/>
      <c r="T29" s="99"/>
      <c r="U29" s="99"/>
      <c r="V29" s="99"/>
      <c r="W29" s="99"/>
      <c r="X29" s="99"/>
      <c r="Y29" s="99"/>
      <c r="Z29" s="99"/>
    </row>
    <row r="30" ht="14.25" customHeight="1">
      <c r="A30" s="95" t="s">
        <v>437</v>
      </c>
      <c r="B30" s="95" t="s">
        <v>438</v>
      </c>
      <c r="C30" s="95" t="s">
        <v>439</v>
      </c>
      <c r="D30" s="95" t="s">
        <v>263</v>
      </c>
      <c r="E30" s="95" t="s">
        <v>264</v>
      </c>
      <c r="F30" s="95" t="s">
        <v>440</v>
      </c>
      <c r="G30" s="95" t="s">
        <v>441</v>
      </c>
      <c r="H30" s="95" t="s">
        <v>442</v>
      </c>
      <c r="I30" s="95" t="s">
        <v>443</v>
      </c>
      <c r="J30" s="95" t="s">
        <v>254</v>
      </c>
      <c r="K30" s="95" t="s">
        <v>254</v>
      </c>
      <c r="L30" s="99"/>
      <c r="M30" s="99"/>
      <c r="N30" s="99"/>
      <c r="O30" s="99"/>
      <c r="P30" s="99"/>
      <c r="Q30" s="99"/>
      <c r="R30" s="99"/>
      <c r="S30" s="99"/>
      <c r="T30" s="99"/>
      <c r="U30" s="99"/>
      <c r="V30" s="99"/>
      <c r="W30" s="99"/>
      <c r="X30" s="99"/>
      <c r="Y30" s="99"/>
      <c r="Z30" s="99"/>
    </row>
    <row r="31" ht="14.25" customHeight="1">
      <c r="A31" s="95" t="s">
        <v>444</v>
      </c>
      <c r="B31" s="95" t="s">
        <v>445</v>
      </c>
      <c r="C31" s="95" t="s">
        <v>446</v>
      </c>
      <c r="D31" s="95" t="s">
        <v>263</v>
      </c>
      <c r="E31" s="95" t="s">
        <v>264</v>
      </c>
      <c r="F31" s="95" t="s">
        <v>447</v>
      </c>
      <c r="G31" s="95" t="s">
        <v>354</v>
      </c>
      <c r="H31" s="95" t="s">
        <v>448</v>
      </c>
      <c r="I31" s="95" t="s">
        <v>449</v>
      </c>
      <c r="J31" s="95" t="s">
        <v>254</v>
      </c>
      <c r="K31" s="95" t="s">
        <v>254</v>
      </c>
      <c r="L31" s="99"/>
      <c r="M31" s="99"/>
      <c r="N31" s="99"/>
      <c r="O31" s="99"/>
      <c r="P31" s="99"/>
      <c r="Q31" s="99"/>
      <c r="R31" s="99"/>
      <c r="S31" s="99"/>
      <c r="T31" s="99"/>
      <c r="U31" s="99"/>
      <c r="V31" s="99"/>
      <c r="W31" s="99"/>
      <c r="X31" s="99"/>
      <c r="Y31" s="99"/>
      <c r="Z31" s="99"/>
    </row>
    <row r="32" ht="14.25" customHeight="1">
      <c r="A32" s="95" t="s">
        <v>450</v>
      </c>
      <c r="B32" s="95" t="s">
        <v>451</v>
      </c>
      <c r="C32" s="95" t="s">
        <v>452</v>
      </c>
      <c r="D32" s="95" t="s">
        <v>263</v>
      </c>
      <c r="E32" s="95" t="s">
        <v>264</v>
      </c>
      <c r="F32" s="95" t="s">
        <v>254</v>
      </c>
      <c r="G32" s="95" t="s">
        <v>264</v>
      </c>
      <c r="H32" s="95" t="s">
        <v>448</v>
      </c>
      <c r="I32" s="95" t="s">
        <v>453</v>
      </c>
      <c r="J32" s="95" t="s">
        <v>254</v>
      </c>
      <c r="K32" s="95" t="s">
        <v>254</v>
      </c>
      <c r="L32" s="99"/>
      <c r="M32" s="99"/>
      <c r="N32" s="99"/>
      <c r="O32" s="99"/>
      <c r="P32" s="99"/>
      <c r="Q32" s="99"/>
      <c r="R32" s="99"/>
      <c r="S32" s="99"/>
      <c r="T32" s="99"/>
      <c r="U32" s="99"/>
      <c r="V32" s="99"/>
      <c r="W32" s="99"/>
      <c r="X32" s="99"/>
      <c r="Y32" s="99"/>
      <c r="Z32" s="99"/>
    </row>
    <row r="33" ht="14.25" customHeight="1">
      <c r="A33" s="95" t="s">
        <v>454</v>
      </c>
      <c r="B33" s="95" t="s">
        <v>455</v>
      </c>
      <c r="C33" s="95" t="s">
        <v>456</v>
      </c>
      <c r="D33" s="95" t="s">
        <v>263</v>
      </c>
      <c r="E33" s="95" t="s">
        <v>264</v>
      </c>
      <c r="F33" s="95" t="s">
        <v>254</v>
      </c>
      <c r="G33" s="95" t="s">
        <v>457</v>
      </c>
      <c r="H33" s="95" t="s">
        <v>458</v>
      </c>
      <c r="I33" s="95" t="s">
        <v>459</v>
      </c>
      <c r="J33" s="95" t="s">
        <v>254</v>
      </c>
      <c r="K33" s="95" t="s">
        <v>254</v>
      </c>
      <c r="L33" s="99"/>
      <c r="M33" s="99"/>
      <c r="N33" s="99"/>
      <c r="O33" s="99"/>
      <c r="P33" s="99"/>
      <c r="Q33" s="99"/>
      <c r="R33" s="99"/>
      <c r="S33" s="99"/>
      <c r="T33" s="99"/>
      <c r="U33" s="99"/>
      <c r="V33" s="99"/>
      <c r="W33" s="99"/>
      <c r="X33" s="99"/>
      <c r="Y33" s="99"/>
      <c r="Z33" s="99"/>
    </row>
    <row r="34" ht="14.25" customHeight="1">
      <c r="A34" s="95" t="s">
        <v>460</v>
      </c>
      <c r="B34" s="95" t="s">
        <v>461</v>
      </c>
      <c r="C34" s="95" t="s">
        <v>462</v>
      </c>
      <c r="D34" s="95" t="s">
        <v>263</v>
      </c>
      <c r="E34" s="95" t="s">
        <v>264</v>
      </c>
      <c r="F34" s="95" t="s">
        <v>254</v>
      </c>
      <c r="G34" s="95" t="s">
        <v>264</v>
      </c>
      <c r="H34" s="95" t="s">
        <v>448</v>
      </c>
      <c r="I34" s="95" t="s">
        <v>463</v>
      </c>
      <c r="J34" s="95" t="s">
        <v>254</v>
      </c>
      <c r="K34" s="95" t="s">
        <v>254</v>
      </c>
      <c r="L34" s="99"/>
      <c r="M34" s="99"/>
      <c r="N34" s="99"/>
      <c r="O34" s="99"/>
      <c r="P34" s="99"/>
      <c r="Q34" s="99"/>
      <c r="R34" s="99"/>
      <c r="S34" s="99"/>
      <c r="T34" s="99"/>
      <c r="U34" s="99"/>
      <c r="V34" s="99"/>
      <c r="W34" s="99"/>
      <c r="X34" s="99"/>
      <c r="Y34" s="99"/>
      <c r="Z34" s="99"/>
    </row>
    <row r="35" ht="14.25" customHeight="1">
      <c r="A35" s="101"/>
      <c r="B35" s="102"/>
      <c r="C35" s="103"/>
      <c r="D35" s="95"/>
      <c r="E35" s="95"/>
      <c r="F35" s="95"/>
      <c r="G35" s="95"/>
      <c r="H35" s="103"/>
      <c r="I35" s="103"/>
      <c r="J35" s="99"/>
      <c r="K35" s="99"/>
      <c r="L35" s="99"/>
      <c r="M35" s="99"/>
      <c r="N35" s="99"/>
      <c r="O35" s="99"/>
      <c r="P35" s="99"/>
      <c r="Q35" s="99"/>
      <c r="R35" s="99"/>
      <c r="S35" s="99"/>
      <c r="T35" s="99"/>
      <c r="U35" s="99"/>
      <c r="V35" s="99"/>
      <c r="W35" s="99"/>
      <c r="X35" s="99"/>
      <c r="Y35" s="99"/>
      <c r="Z35" s="99"/>
    </row>
    <row r="36" ht="14.25" customHeight="1">
      <c r="A36" s="95"/>
      <c r="B36" s="95"/>
      <c r="C36" s="99"/>
      <c r="D36" s="99"/>
      <c r="E36" s="99"/>
      <c r="F36" s="99"/>
      <c r="G36" s="99"/>
      <c r="H36" s="99"/>
      <c r="I36" s="99"/>
      <c r="J36" s="99"/>
      <c r="K36" s="99"/>
      <c r="L36" s="99"/>
      <c r="M36" s="99"/>
      <c r="N36" s="99"/>
      <c r="O36" s="99"/>
      <c r="P36" s="99"/>
      <c r="Q36" s="99"/>
      <c r="R36" s="99"/>
      <c r="S36" s="99"/>
      <c r="T36" s="99"/>
      <c r="U36" s="99"/>
      <c r="V36" s="99"/>
      <c r="W36" s="99"/>
      <c r="X36" s="99"/>
      <c r="Y36" s="99"/>
      <c r="Z36" s="99"/>
    </row>
    <row r="37" ht="12.75" customHeight="1">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row>
    <row r="38" ht="12.75" customHeight="1">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row>
    <row r="39" ht="12.75" customHeight="1">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ht="12.75" customHeight="1">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row>
    <row r="41" ht="12.75" customHeight="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row>
    <row r="42" ht="12.75" customHeight="1">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row>
    <row r="43" ht="12.75" customHeight="1">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row>
    <row r="44" ht="12.75" customHeight="1">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row>
    <row r="45" ht="12.75" customHeight="1">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ht="12.75" customHeight="1">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row>
    <row r="47" ht="12.75" customHeight="1">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row>
    <row r="48" ht="12.75" customHeight="1">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row>
    <row r="49" ht="12.75" customHeight="1">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row>
    <row r="50" ht="12.75" customHeight="1">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row>
    <row r="51" ht="12.75" customHeight="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ht="12.75" customHeight="1">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ht="12.75" customHeight="1">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ht="12.75" customHeight="1">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ht="12.75" customHeight="1">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ht="12.75" customHeight="1">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ht="12.75" customHeight="1">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ht="12.75" customHeight="1">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ht="12.75" customHeight="1">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ht="12.75" customHeight="1">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ht="12.75" customHeight="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ht="12.75" customHeight="1">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ht="12.75" customHeight="1">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ht="12.75" customHeight="1">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ht="12.75" customHeight="1">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ht="12.75" customHeight="1">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ht="12.75" customHeight="1">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ht="12.75" customHeight="1">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ht="12.75" customHeight="1">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ht="12.75" customHeight="1">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ht="12.75" customHeight="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ht="12.75" customHeight="1">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ht="12.75" customHeight="1">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ht="12.75" customHeight="1">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ht="12.75" customHeight="1">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ht="12.75" customHeight="1">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ht="12.75" customHeight="1">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ht="12.75" customHeight="1">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ht="12.75" customHeight="1">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ht="12.75" customHeight="1">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ht="12.75" customHeight="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ht="12.75" customHeight="1">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ht="12.75" customHeight="1">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ht="12.75" customHeight="1">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ht="12.75" customHeight="1">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ht="12.75" customHeight="1">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ht="12.75" customHeight="1">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ht="12.75" customHeight="1">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ht="12.75" customHeight="1">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ht="12.75" customHeight="1">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ht="12.75" customHeight="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ht="12.75" customHeight="1">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ht="12.75" customHeight="1">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ht="12.75" customHeight="1">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ht="12.75" customHeight="1">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ht="12.75" customHeight="1">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ht="12.75" customHeight="1">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ht="12.75" customHeight="1">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ht="12.75" customHeight="1">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ht="12.75" customHeight="1">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ht="12.75" customHeight="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ht="12.75" customHeight="1">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ht="12.75" customHeight="1">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ht="12.75" customHeight="1">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ht="12.75" customHeight="1">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ht="12.75" customHeight="1">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ht="12.75" customHeight="1">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ht="12.75" customHeight="1">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ht="12.75" customHeight="1">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ht="12.75" customHeight="1">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ht="12.75" customHeight="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ht="12.75" customHeight="1">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ht="12.75" customHeight="1">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ht="12.75" customHeight="1">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ht="12.75" customHeight="1">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ht="12.75" customHeight="1">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ht="12.75" customHeight="1">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ht="12.75" customHeight="1">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ht="12.75" customHeight="1">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ht="12.75" customHeight="1">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ht="12.75" customHeight="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ht="12.75" customHeight="1">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ht="12.75" customHeight="1">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ht="12.75" customHeight="1">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ht="12.75" customHeight="1">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ht="12.75" customHeight="1">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ht="12.75" customHeight="1">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ht="12.75" customHeight="1">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ht="12.75" customHeight="1">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ht="12.75" customHeight="1">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ht="12.75" customHeight="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ht="12.75" customHeight="1">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ht="12.75" customHeight="1">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ht="12.75" customHeight="1">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ht="12.75" customHeight="1">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ht="12.75" customHeight="1">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ht="12.75" customHeight="1">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ht="12.75" customHeight="1">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ht="12.75" customHeight="1">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ht="12.75" customHeight="1">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ht="12.75" customHeight="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ht="12.75" customHeight="1">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ht="12.75" customHeight="1">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ht="12.75" customHeight="1">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ht="12.75" customHeight="1">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ht="12.75" customHeight="1">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ht="12.75" customHeight="1">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ht="12.75" customHeight="1">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ht="12.75" customHeight="1">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ht="12.75" customHeight="1">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ht="12.75" customHeight="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ht="12.75" customHeight="1">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ht="12.75" customHeight="1">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ht="12.75" customHeight="1">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ht="12.75" customHeight="1">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ht="12.75" customHeight="1">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ht="12.75" customHeight="1">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ht="12.75" customHeight="1">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ht="12.75" customHeight="1">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ht="12.75" customHeight="1">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ht="12.75" customHeight="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ht="12.75" customHeight="1">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ht="12.75" customHeight="1">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ht="12.75" customHeight="1">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ht="12.75" customHeight="1">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ht="12.75" customHeight="1">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ht="12.75" customHeight="1">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ht="12.75" customHeight="1">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ht="12.75" customHeight="1">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ht="12.75" customHeight="1">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ht="12.75" customHeight="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ht="12.75" customHeight="1">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ht="12.75" customHeight="1">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ht="12.75" customHeight="1">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ht="12.75" customHeight="1">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ht="12.75" customHeight="1">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ht="12.75" customHeight="1">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ht="12.75" customHeight="1">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ht="12.75" customHeight="1">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ht="12.75" customHeight="1">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ht="12.75" customHeight="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ht="12.75" customHeight="1">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ht="12.75" customHeight="1">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ht="12.75" customHeight="1">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ht="12.75" customHeight="1">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ht="12.75" customHeight="1">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ht="12.75" customHeight="1">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ht="12.75" customHeight="1">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ht="12.75" customHeight="1">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ht="12.75" customHeight="1">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ht="12.75" customHeight="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ht="12.75" customHeight="1">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ht="12.75" customHeight="1">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ht="12.75" customHeight="1">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ht="12.75" customHeight="1">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ht="12.75" customHeight="1">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ht="12.75" customHeight="1">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ht="12.75" customHeight="1">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ht="12.75" customHeight="1">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ht="12.75" customHeight="1">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ht="12.75" customHeight="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ht="12.75" customHeight="1">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ht="12.75" customHeight="1">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ht="12.75" customHeight="1">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ht="12.75" customHeight="1">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ht="12.75" customHeight="1">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ht="12.75" customHeight="1">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ht="12.75" customHeight="1">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ht="12.75" customHeight="1">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ht="12.75" customHeight="1">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ht="12.75" customHeight="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ht="12.75" customHeight="1">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ht="12.75" customHeight="1">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ht="12.75" customHeight="1">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ht="12.75" customHeight="1">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ht="12.75" customHeight="1">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ht="12.75" customHeight="1">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ht="12.75" customHeight="1">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ht="12.75" customHeight="1">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ht="12.75" customHeight="1">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ht="12.75" customHeight="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ht="12.75" customHeight="1">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ht="12.75" customHeight="1">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ht="12.75" customHeight="1">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ht="12.75" customHeight="1">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ht="12.75" customHeight="1">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ht="12.75" customHeight="1">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ht="12.75" customHeight="1">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ht="12.75" customHeight="1">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ht="12.75" customHeight="1">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ht="12.75" customHeight="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ht="12.75" customHeight="1">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ht="12.75" customHeight="1">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ht="12.75" customHeight="1">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ht="12.75" customHeight="1">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ht="12.75" customHeight="1">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ht="12.75" customHeight="1">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ht="12.75" customHeight="1">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ht="12.75" customHeight="1">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ht="12.75" customHeight="1">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ht="12.75" customHeight="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ht="12.75" customHeight="1">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ht="12.75" customHeight="1">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ht="12.75" customHeight="1">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ht="12.75" customHeight="1">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ht="12.75" customHeight="1">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ht="12.75" customHeight="1">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ht="12.75" customHeight="1">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ht="12.75" customHeight="1">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ht="12.75" customHeight="1">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ht="12.75" customHeight="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ht="12.75" customHeight="1">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ht="12.75" customHeight="1">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ht="12.75" customHeight="1">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ht="12.75" customHeight="1">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ht="12.75" customHeight="1">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ht="12.75" customHeight="1">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ht="12.75" customHeight="1">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ht="12.75" customHeight="1">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ht="12.75" customHeight="1">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ht="12.75" customHeight="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ht="12.75" customHeight="1">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ht="12.75" customHeight="1">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ht="12.75" customHeight="1">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ht="12.75" customHeight="1">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ht="12.75" customHeight="1">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ht="12.75" customHeight="1">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ht="12.75" customHeight="1">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ht="12.75" customHeight="1">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ht="12.75" customHeight="1">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ht="12.75" customHeight="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ht="12.75" customHeight="1">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ht="12.75" customHeight="1">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ht="12.75" customHeight="1">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ht="12.75" customHeight="1">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ht="12.75" customHeight="1">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ht="12.75" customHeight="1">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ht="12.75" customHeight="1">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ht="12.75" customHeight="1">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ht="12.75" customHeight="1">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ht="12.75" customHeight="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ht="12.75" customHeight="1">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ht="12.75" customHeight="1">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ht="12.75" customHeight="1">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ht="12.75" customHeight="1">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ht="12.75" customHeight="1">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ht="12.75" customHeight="1">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ht="12.75" customHeight="1">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ht="12.75" customHeight="1">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ht="12.75" customHeight="1">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ht="12.75" customHeight="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ht="12.75" customHeight="1">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ht="12.75" customHeight="1">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ht="12.75" customHeight="1">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ht="12.75" customHeight="1">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ht="12.75" customHeight="1">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ht="12.75" customHeight="1">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ht="12.75" customHeight="1">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ht="12.75" customHeight="1">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ht="12.75" customHeight="1">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ht="12.75" customHeight="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ht="12.75" customHeight="1">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ht="12.75" customHeight="1">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ht="12.75" customHeight="1">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ht="12.75" customHeight="1">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ht="12.75" customHeight="1">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ht="12.75" customHeight="1">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ht="12.75" customHeight="1">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ht="12.75" customHeight="1">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ht="12.75" customHeight="1">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ht="12.75" customHeight="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ht="12.75" customHeight="1">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ht="12.75" customHeight="1">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ht="12.75" customHeight="1">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ht="12.75" customHeight="1">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ht="12.75" customHeight="1">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ht="12.75" customHeight="1">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ht="12.75" customHeight="1">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ht="12.75" customHeight="1">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ht="12.75" customHeight="1">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ht="12.75" customHeight="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ht="12.75" customHeight="1">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ht="12.75" customHeight="1">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ht="12.75" customHeight="1">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ht="12.75" customHeight="1">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ht="12.75" customHeight="1">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ht="12.75" customHeight="1">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ht="12.75" customHeight="1">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ht="12.75" customHeight="1">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ht="12.75" customHeight="1">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ht="12.75" customHeight="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ht="12.75" customHeight="1">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ht="12.75" customHeight="1">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ht="12.75" customHeight="1">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ht="12.75" customHeight="1">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ht="12.75" customHeight="1">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ht="12.75" customHeight="1">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ht="12.75" customHeight="1">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ht="12.75" customHeight="1">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ht="12.75" customHeight="1">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ht="12.75" customHeight="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ht="12.75" customHeight="1">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ht="12.75" customHeight="1">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ht="12.75" customHeight="1">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ht="12.75" customHeight="1">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ht="12.75" customHeight="1">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ht="12.75" customHeight="1">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ht="12.75" customHeight="1">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ht="12.75" customHeight="1">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ht="12.75" customHeight="1">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ht="12.75" customHeight="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ht="12.75" customHeight="1">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ht="12.75" customHeight="1">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ht="12.75" customHeight="1">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ht="12.75" customHeight="1">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ht="12.75" customHeight="1">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ht="12.75" customHeight="1">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ht="12.75" customHeight="1">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ht="12.75" customHeight="1">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ht="12.75" customHeight="1">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ht="12.75" customHeight="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ht="12.75" customHeight="1">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ht="12.75" customHeight="1">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ht="12.75" customHeight="1">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ht="12.75" customHeight="1">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ht="12.75" customHeight="1">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ht="12.75" customHeight="1">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ht="12.75" customHeight="1">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ht="12.75" customHeight="1">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ht="12.75" customHeight="1">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ht="12.75" customHeight="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ht="12.75" customHeight="1">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ht="12.75" customHeight="1">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ht="12.75" customHeight="1">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ht="12.75" customHeight="1">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ht="12.75" customHeight="1">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ht="12.75" customHeight="1">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ht="12.75" customHeight="1">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ht="12.75" customHeight="1">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ht="12.75" customHeight="1">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ht="12.75" customHeight="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ht="12.75" customHeight="1">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ht="12.75" customHeight="1">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ht="12.75" customHeight="1">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ht="12.75" customHeight="1">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ht="12.75" customHeight="1">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ht="12.75" customHeight="1">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ht="12.75" customHeight="1">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ht="12.75" customHeight="1">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ht="12.75" customHeight="1">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ht="12.75" customHeight="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ht="12.75" customHeight="1">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ht="12.75" customHeight="1">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ht="12.75" customHeight="1">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ht="12.75" customHeight="1">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ht="12.75" customHeight="1">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ht="12.75" customHeight="1">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ht="12.75" customHeight="1">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ht="12.75" customHeight="1">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ht="12.75" customHeight="1">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ht="12.75" customHeight="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ht="12.75" customHeight="1">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ht="12.75" customHeight="1">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ht="12.75" customHeight="1">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ht="12.75" customHeight="1">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ht="12.75" customHeight="1">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ht="12.75" customHeight="1">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ht="12.75" customHeight="1">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ht="12.75" customHeight="1">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ht="12.75" customHeight="1">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ht="12.75" customHeight="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ht="12.75" customHeight="1">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ht="12.75" customHeight="1">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ht="12.75" customHeight="1">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ht="12.75" customHeight="1">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ht="12.75" customHeight="1">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ht="12.75" customHeight="1">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ht="12.75" customHeight="1">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ht="12.75" customHeight="1">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ht="12.75" customHeight="1">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ht="12.75" customHeight="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ht="12.75" customHeight="1">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ht="12.75" customHeight="1">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ht="12.75" customHeight="1">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ht="12.75" customHeight="1">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ht="12.75" customHeight="1">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ht="12.75" customHeight="1">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ht="12.75" customHeight="1">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ht="12.75" customHeight="1">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ht="12.75" customHeight="1">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ht="12.75" customHeight="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ht="12.75" customHeight="1">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ht="12.75" customHeight="1">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ht="12.75" customHeight="1">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ht="12.75" customHeight="1">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ht="12.75" customHeight="1">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ht="12.75" customHeight="1">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ht="12.75" customHeight="1">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ht="12.75" customHeight="1">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ht="12.75" customHeight="1">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ht="12.75" customHeight="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ht="12.75" customHeight="1">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ht="12.75" customHeight="1">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ht="12.75" customHeight="1">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ht="12.75" customHeight="1">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ht="12.75" customHeight="1">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ht="12.75" customHeight="1">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ht="12.75" customHeight="1">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ht="12.75" customHeight="1">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ht="12.75" customHeight="1">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ht="12.75" customHeight="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ht="12.75" customHeight="1">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ht="12.75" customHeight="1">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ht="12.75" customHeight="1">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ht="12.75" customHeight="1">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ht="12.75" customHeight="1">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ht="12.75" customHeight="1">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ht="12.75" customHeight="1">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ht="12.75" customHeight="1">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ht="12.75" customHeight="1">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ht="12.75" customHeight="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ht="12.75" customHeight="1">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ht="12.75" customHeight="1">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ht="12.75" customHeight="1">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ht="12.75" customHeight="1">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ht="12.75" customHeight="1">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ht="12.75" customHeight="1">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ht="12.75" customHeight="1">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ht="12.75" customHeight="1">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ht="12.75" customHeight="1">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ht="12.75" customHeight="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ht="12.75" customHeight="1">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ht="12.75" customHeight="1">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ht="12.75" customHeight="1">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ht="12.75" customHeight="1">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ht="12.75" customHeight="1">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ht="12.75" customHeight="1">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ht="12.75" customHeight="1">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ht="12.75" customHeight="1">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ht="12.75" customHeight="1">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ht="12.75" customHeight="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ht="12.75" customHeight="1">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ht="12.75" customHeight="1">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ht="12.75" customHeight="1">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ht="12.75" customHeight="1">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ht="12.75" customHeight="1">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ht="12.75" customHeight="1">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ht="12.75" customHeight="1">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ht="12.75" customHeight="1">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ht="12.75" customHeight="1">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ht="12.75" customHeight="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ht="12.75" customHeight="1">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ht="12.75" customHeight="1">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ht="12.75" customHeight="1">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ht="12.75" customHeight="1">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ht="12.75" customHeight="1">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ht="12.75" customHeight="1">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ht="12.75" customHeight="1">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ht="12.75" customHeight="1">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ht="12.75" customHeight="1">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ht="12.75" customHeight="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ht="12.75" customHeight="1">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ht="12.75" customHeight="1">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ht="12.75" customHeight="1">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ht="12.75" customHeight="1">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ht="12.75" customHeight="1">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ht="12.75" customHeight="1">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ht="12.75" customHeight="1">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ht="12.75" customHeight="1">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ht="12.75" customHeight="1">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ht="12.75" customHeight="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ht="12.75" customHeight="1">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ht="12.75" customHeight="1">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ht="12.75" customHeight="1">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ht="12.75" customHeight="1">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ht="12.75" customHeight="1">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ht="12.75" customHeight="1">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ht="12.75" customHeight="1">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ht="12.75" customHeight="1">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ht="12.75" customHeight="1">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ht="12.75" customHeight="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ht="12.75" customHeight="1">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ht="12.75" customHeight="1">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ht="12.75" customHeight="1">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ht="12.75" customHeight="1">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ht="12.75" customHeight="1">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ht="12.75" customHeight="1">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ht="12.75" customHeight="1">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ht="12.75" customHeight="1">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ht="12.75" customHeight="1">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ht="12.75" customHeight="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ht="12.75" customHeight="1">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ht="12.75" customHeight="1">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ht="12.75" customHeight="1">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ht="12.75" customHeight="1">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ht="12.75" customHeight="1">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ht="12.75" customHeight="1">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ht="12.75" customHeight="1">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ht="12.75" customHeight="1">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ht="12.75" customHeight="1">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ht="12.75" customHeight="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ht="12.75" customHeight="1">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ht="12.75" customHeight="1">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ht="12.75" customHeight="1">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ht="12.75" customHeight="1">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ht="12.75" customHeight="1">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ht="12.75" customHeight="1">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ht="12.75" customHeight="1">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ht="12.75" customHeight="1">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ht="12.75" customHeight="1">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ht="12.75" customHeight="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ht="12.75" customHeight="1">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ht="12.75" customHeight="1">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ht="12.75" customHeight="1">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ht="12.75" customHeight="1">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ht="12.75" customHeight="1">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ht="12.75" customHeight="1">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ht="12.75" customHeight="1">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ht="12.75" customHeight="1">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ht="12.75" customHeight="1">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ht="12.75" customHeight="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ht="12.75" customHeight="1">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ht="12.75" customHeight="1">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ht="12.75" customHeight="1">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ht="12.75" customHeight="1">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ht="12.75" customHeight="1">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ht="12.75" customHeight="1">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ht="12.75" customHeight="1">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ht="12.75" customHeight="1">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ht="12.75" customHeight="1">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ht="12.75" customHeight="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ht="12.75" customHeight="1">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ht="12.75" customHeight="1">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ht="12.75" customHeight="1">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ht="12.75" customHeight="1">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ht="12.75" customHeight="1">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ht="12.75" customHeight="1">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ht="12.75" customHeight="1">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ht="12.75" customHeight="1">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ht="12.75" customHeight="1">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ht="12.75" customHeight="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ht="12.75" customHeight="1">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ht="12.75" customHeight="1">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ht="12.75" customHeight="1">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ht="12.75" customHeight="1">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ht="12.75" customHeight="1">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ht="12.75" customHeight="1">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ht="12.75" customHeight="1">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ht="12.75" customHeight="1">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ht="12.75" customHeight="1">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ht="12.75" customHeight="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ht="12.75" customHeight="1">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ht="12.75" customHeight="1">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ht="12.75" customHeight="1">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ht="12.75" customHeight="1">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ht="12.75" customHeight="1">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ht="12.75" customHeight="1">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ht="12.75" customHeight="1">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ht="12.75" customHeight="1">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ht="12.75" customHeight="1">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ht="12.75" customHeight="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ht="12.75" customHeight="1">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ht="12.75" customHeight="1">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ht="12.75" customHeight="1">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ht="12.75" customHeight="1">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ht="12.75" customHeight="1">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ht="12.75" customHeight="1">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ht="12.75" customHeight="1">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ht="12.75" customHeight="1">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ht="12.75" customHeight="1">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ht="12.75" customHeight="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ht="12.75" customHeight="1">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ht="12.75" customHeight="1">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ht="12.75" customHeight="1">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ht="12.75" customHeight="1">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ht="12.75" customHeight="1">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ht="12.75" customHeight="1">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ht="12.75" customHeight="1">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ht="12.75" customHeight="1">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ht="12.75" customHeight="1">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ht="12.75" customHeight="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ht="12.75" customHeight="1">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ht="12.75" customHeight="1">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ht="12.75" customHeight="1">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ht="12.75" customHeight="1">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ht="12.75" customHeight="1">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ht="12.75" customHeight="1">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ht="12.75" customHeight="1">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ht="12.75" customHeight="1">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ht="12.75" customHeight="1">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ht="12.75" customHeight="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ht="12.75" customHeight="1">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ht="12.75" customHeight="1">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ht="12.75" customHeight="1">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ht="12.75" customHeight="1">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ht="12.75" customHeight="1">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ht="12.75" customHeight="1">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ht="12.75" customHeight="1">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ht="12.75" customHeight="1">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ht="12.75" customHeight="1">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ht="12.75" customHeight="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ht="12.75" customHeight="1">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ht="12.75" customHeight="1">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ht="12.75" customHeight="1">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ht="12.75" customHeight="1">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ht="12.75" customHeight="1">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ht="12.75" customHeight="1">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ht="12.75" customHeight="1">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ht="12.75" customHeight="1">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ht="12.75" customHeight="1">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ht="12.75" customHeight="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ht="12.75" customHeight="1">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ht="12.75" customHeight="1">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ht="12.75" customHeight="1">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ht="12.75" customHeight="1">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ht="12.75" customHeight="1">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ht="12.75" customHeight="1">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ht="12.75" customHeight="1">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ht="12.75" customHeight="1">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ht="12.75" customHeight="1">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ht="12.75" customHeight="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ht="12.75" customHeight="1">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ht="12.75" customHeight="1">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ht="12.75" customHeight="1">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ht="12.75" customHeight="1">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ht="12.75" customHeight="1">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ht="12.75" customHeight="1">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ht="12.75" customHeight="1">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ht="12.75" customHeight="1">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ht="12.75" customHeight="1">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ht="12.75" customHeight="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ht="12.75" customHeight="1">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ht="12.75" customHeight="1">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ht="12.75" customHeight="1">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ht="12.75" customHeight="1">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ht="12.75" customHeight="1">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ht="12.75" customHeight="1">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ht="12.75" customHeight="1">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ht="12.75" customHeight="1">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ht="12.75" customHeight="1">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ht="12.75" customHeight="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ht="12.75" customHeight="1">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ht="12.75" customHeight="1">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ht="12.75" customHeight="1">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ht="12.75" customHeight="1">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ht="12.75" customHeight="1">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ht="12.75" customHeight="1">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ht="12.75" customHeight="1">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ht="12.75" customHeight="1">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ht="12.75" customHeight="1">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ht="12.75" customHeight="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ht="12.75" customHeight="1">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ht="12.75" customHeight="1">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ht="12.75" customHeight="1">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ht="12.75" customHeight="1">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ht="12.75" customHeight="1">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ht="12.75" customHeight="1">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ht="12.75" customHeight="1">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ht="12.75" customHeight="1">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ht="12.75" customHeight="1">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ht="12.75" customHeight="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ht="12.75" customHeight="1">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ht="12.75" customHeight="1">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ht="12.75" customHeight="1">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ht="12.75" customHeight="1">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ht="12.75" customHeight="1">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ht="12.75" customHeight="1">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ht="12.75" customHeight="1">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ht="12.75" customHeight="1">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ht="12.75" customHeight="1">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ht="12.75" customHeight="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ht="12.75" customHeight="1">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ht="12.75" customHeight="1">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ht="12.75" customHeight="1">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ht="12.75" customHeight="1">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ht="12.75" customHeight="1">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ht="12.75" customHeight="1">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ht="12.75" customHeight="1">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ht="12.75" customHeight="1">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ht="12.75" customHeight="1">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ht="12.75" customHeight="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ht="12.75" customHeight="1">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ht="12.75" customHeight="1">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ht="12.75" customHeight="1">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ht="12.75" customHeight="1">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ht="12.75" customHeight="1">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ht="12.75" customHeight="1">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ht="12.75" customHeight="1">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ht="12.75" customHeight="1">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ht="12.75" customHeight="1">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ht="12.75" customHeight="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ht="12.75" customHeight="1">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ht="12.75" customHeight="1">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ht="12.75" customHeight="1">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ht="12.75" customHeight="1">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ht="12.75" customHeight="1">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ht="12.75" customHeight="1">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ht="12.75" customHeight="1">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ht="12.75" customHeight="1">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ht="12.75" customHeight="1">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ht="12.75" customHeight="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ht="12.75" customHeight="1">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ht="12.75" customHeight="1">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ht="12.75" customHeight="1">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ht="12.75" customHeight="1">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ht="12.75" customHeight="1">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ht="12.75" customHeight="1">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ht="12.75" customHeight="1">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ht="12.75" customHeight="1">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ht="12.75" customHeight="1">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ht="12.75" customHeight="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ht="12.75" customHeight="1">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ht="12.75" customHeight="1">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ht="12.75" customHeight="1">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ht="12.75" customHeight="1">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ht="12.75" customHeight="1">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ht="12.75" customHeight="1">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ht="12.75" customHeight="1">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ht="12.75" customHeight="1">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ht="12.75" customHeight="1">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ht="12.75" customHeight="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ht="12.75" customHeight="1">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ht="12.75" customHeight="1">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ht="12.75" customHeight="1">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ht="12.75" customHeight="1">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ht="12.75" customHeight="1">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ht="12.75" customHeight="1">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ht="12.75" customHeight="1">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ht="12.75" customHeight="1">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ht="12.75" customHeight="1">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ht="12.75" customHeight="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ht="12.75" customHeight="1">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ht="12.75" customHeight="1">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ht="12.75" customHeight="1">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ht="12.75" customHeight="1">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ht="12.75" customHeight="1">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ht="12.75" customHeight="1">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ht="12.75" customHeight="1">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ht="12.75" customHeight="1">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ht="12.75" customHeight="1">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ht="12.75" customHeight="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ht="12.75" customHeight="1">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ht="12.75" customHeight="1">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ht="12.75" customHeight="1">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ht="12.75" customHeight="1">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ht="12.75" customHeight="1">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ht="12.75" customHeight="1">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ht="12.75" customHeight="1">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ht="12.75" customHeight="1">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ht="12.75" customHeight="1">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ht="12.75" customHeight="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ht="12.75" customHeight="1">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ht="12.75" customHeight="1">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ht="12.75" customHeight="1">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ht="12.75" customHeight="1">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ht="12.75" customHeight="1">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ht="12.75" customHeight="1">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ht="12.75" customHeight="1">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ht="12.75" customHeight="1">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ht="12.75" customHeight="1">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ht="12.75" customHeight="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ht="12.75" customHeight="1">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ht="12.75" customHeight="1">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ht="12.75" customHeight="1">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ht="12.75" customHeight="1">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ht="12.75" customHeight="1">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ht="12.75" customHeight="1">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ht="12.75" customHeight="1">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ht="12.75" customHeight="1">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ht="12.75" customHeight="1">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ht="12.75" customHeight="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ht="12.75" customHeight="1">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ht="12.75" customHeight="1">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ht="12.75" customHeight="1">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ht="12.75" customHeight="1">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ht="12.75" customHeight="1">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ht="12.75" customHeight="1">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ht="12.75" customHeight="1">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ht="12.75" customHeight="1">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ht="12.75" customHeight="1">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ht="12.75" customHeight="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ht="12.75" customHeight="1">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ht="12.75" customHeight="1">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ht="12.75" customHeight="1">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ht="12.75" customHeight="1">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ht="12.75" customHeight="1">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ht="12.75" customHeight="1">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ht="12.75" customHeight="1">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ht="12.75" customHeight="1">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ht="12.75" customHeight="1">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ht="12.75" customHeight="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ht="12.75" customHeight="1">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ht="12.75" customHeight="1">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ht="12.75" customHeight="1">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ht="12.75" customHeight="1">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ht="12.75" customHeight="1">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ht="12.75" customHeight="1">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ht="12.75" customHeight="1">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ht="12.75" customHeight="1">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ht="12.75" customHeight="1">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ht="12.75" customHeight="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ht="12.75" customHeight="1">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ht="12.75" customHeight="1">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ht="12.75" customHeight="1">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ht="12.75" customHeight="1">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ht="12.75" customHeight="1">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ht="12.75" customHeight="1">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ht="12.75" customHeight="1">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ht="12.75" customHeight="1">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ht="12.75" customHeight="1">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ht="12.75" customHeight="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ht="12.75" customHeight="1">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ht="12.75" customHeight="1">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ht="12.75" customHeight="1">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ht="12.75" customHeight="1">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ht="12.75" customHeight="1">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ht="12.75" customHeight="1">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ht="12.75" customHeight="1">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ht="12.75" customHeight="1">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ht="12.75" customHeight="1">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ht="12.75" customHeight="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ht="12.75" customHeight="1">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ht="12.75" customHeight="1">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ht="12.75" customHeight="1">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ht="12.75" customHeight="1">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ht="12.75" customHeight="1">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ht="12.75" customHeight="1">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ht="12.75" customHeight="1">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ht="12.75" customHeight="1">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ht="12.75" customHeight="1">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ht="12.75" customHeight="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ht="12.75" customHeight="1">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ht="12.75" customHeight="1">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ht="12.75" customHeight="1">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ht="12.75" customHeight="1">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ht="12.75" customHeight="1">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ht="12.75" customHeight="1">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ht="12.75" customHeight="1">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ht="12.75" customHeight="1">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ht="12.75" customHeight="1">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ht="12.75" customHeight="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ht="12.75" customHeight="1">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ht="12.75" customHeight="1">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ht="12.75" customHeight="1">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ht="12.75" customHeight="1">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ht="12.75" customHeight="1">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ht="12.75" customHeight="1">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ht="12.75" customHeight="1">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ht="12.75" customHeight="1">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ht="12.75" customHeight="1">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ht="12.75" customHeight="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ht="12.75" customHeight="1">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ht="12.75" customHeight="1">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ht="12.75" customHeight="1">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ht="12.75" customHeight="1">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ht="12.75" customHeight="1">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ht="12.75" customHeight="1">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ht="12.75" customHeight="1">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ht="12.75" customHeight="1">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ht="12.75" customHeight="1">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ht="12.75" customHeight="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ht="12.75" customHeight="1">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ht="12.75" customHeight="1">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ht="12.75" customHeight="1">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ht="12.75" customHeight="1">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ht="12.75" customHeight="1">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ht="12.75" customHeight="1">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ht="12.75" customHeight="1">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ht="12.75" customHeight="1">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ht="12.75" customHeight="1">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ht="12.75" customHeight="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ht="12.75" customHeight="1">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ht="12.75" customHeight="1">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ht="12.75" customHeight="1">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ht="12.75" customHeight="1">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ht="12.75" customHeight="1">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ht="12.75" customHeight="1">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ht="12.75" customHeight="1">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ht="12.75" customHeight="1">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ht="12.75" customHeight="1">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ht="12.75" customHeight="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ht="12.75" customHeight="1">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ht="12.75" customHeight="1">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ht="12.75" customHeight="1">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ht="12.75" customHeight="1">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ht="12.75" customHeight="1">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ht="12.75" customHeight="1">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ht="12.75" customHeight="1">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ht="12.75" customHeight="1">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ht="12.75" customHeight="1">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ht="12.75" customHeight="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ht="12.75" customHeight="1">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ht="12.75" customHeight="1">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ht="12.75" customHeight="1">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ht="12.75" customHeight="1">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ht="12.75" customHeight="1">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ht="12.75" customHeight="1">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ht="12.75" customHeight="1">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ht="12.75" customHeight="1">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ht="12.75" customHeight="1">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ht="12.75" customHeight="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ht="12.75" customHeight="1">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ht="12.75" customHeight="1">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ht="12.75" customHeight="1">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ht="12.75" customHeight="1">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ht="12.75" customHeight="1">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ht="12.75" customHeight="1">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ht="12.75" customHeight="1">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ht="12.75" customHeight="1">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ht="12.75" customHeight="1">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ht="12.75" customHeight="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ht="12.75" customHeight="1">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ht="12.75" customHeight="1">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ht="12.75" customHeight="1">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ht="12.75" customHeight="1">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ht="12.75" customHeight="1">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ht="12.75" customHeight="1">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ht="12.75" customHeight="1">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ht="12.75" customHeight="1">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ht="12.75" customHeight="1">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ht="12.75" customHeight="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ht="12.75" customHeight="1">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ht="12.75" customHeight="1">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ht="12.75" customHeight="1">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ht="12.75" customHeight="1">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ht="12.75" customHeight="1">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ht="12.75" customHeight="1">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ht="12.75" customHeight="1">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ht="12.75" customHeight="1">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ht="12.75" customHeight="1">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ht="12.75" customHeight="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ht="12.75" customHeight="1">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ht="12.75" customHeight="1">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ht="12.75" customHeight="1">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ht="12.75" customHeight="1">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ht="12.75" customHeight="1">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ht="12.75" customHeight="1">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ht="12.75" customHeight="1">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ht="12.75" customHeight="1">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ht="12.75" customHeight="1">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ht="12.75" customHeight="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ht="12.75" customHeight="1">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ht="12.75" customHeight="1">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ht="12.75" customHeight="1">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ht="12.75" customHeight="1">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ht="12.75" customHeight="1">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ht="12.75" customHeight="1">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ht="12.75" customHeight="1">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ht="12.75" customHeight="1">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ht="12.75" customHeight="1">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ht="12.75" customHeight="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ht="12.75" customHeight="1">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ht="12.75" customHeight="1">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ht="12.75" customHeight="1">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ht="12.75" customHeight="1">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ht="12.75" customHeight="1">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ht="12.75" customHeight="1">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ht="12.75" customHeight="1">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ht="12.75" customHeight="1">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ht="12.75" customHeight="1">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26" width="12.63"/>
  </cols>
  <sheetData>
    <row r="1" ht="15.75" customHeight="1">
      <c r="A1" s="95" t="s">
        <v>24</v>
      </c>
    </row>
    <row r="2" ht="15.75" customHeight="1">
      <c r="A2" s="95" t="s">
        <v>464</v>
      </c>
    </row>
    <row r="3" ht="15.75" customHeight="1">
      <c r="A3" s="95" t="s">
        <v>33</v>
      </c>
      <c r="B3" s="95" t="s">
        <v>38</v>
      </c>
      <c r="C3" s="95" t="s">
        <v>42</v>
      </c>
      <c r="D3" s="95" t="s">
        <v>48</v>
      </c>
    </row>
    <row r="4" ht="15.75" customHeight="1">
      <c r="A4" s="104">
        <v>3.0</v>
      </c>
      <c r="B4" s="104">
        <v>3.0</v>
      </c>
      <c r="C4" s="104">
        <v>3.0</v>
      </c>
      <c r="D4" s="104">
        <v>3.0</v>
      </c>
    </row>
    <row r="5" ht="15.75" customHeight="1"/>
    <row r="6" ht="15.75" customHeight="1">
      <c r="A6" s="105" t="s">
        <v>465</v>
      </c>
    </row>
    <row r="7" ht="15.75" customHeight="1">
      <c r="A7" s="106" t="s">
        <v>466</v>
      </c>
      <c r="B7" s="107">
        <v>1.0</v>
      </c>
      <c r="C7" s="107">
        <v>2.0</v>
      </c>
      <c r="D7" s="107">
        <v>3.0</v>
      </c>
      <c r="E7" s="107">
        <v>4.0</v>
      </c>
      <c r="F7" s="107">
        <v>5.0</v>
      </c>
      <c r="G7" s="107">
        <v>6.0</v>
      </c>
      <c r="H7" s="107">
        <v>7.0</v>
      </c>
      <c r="I7" s="107">
        <v>8.0</v>
      </c>
      <c r="J7" s="107">
        <v>9.0</v>
      </c>
      <c r="K7" s="107">
        <v>10.0</v>
      </c>
    </row>
    <row r="8" ht="15.75" customHeight="1">
      <c r="A8" s="106" t="s">
        <v>13</v>
      </c>
      <c r="B8" s="107">
        <v>-2.0</v>
      </c>
      <c r="C8" s="107">
        <v>-1.0</v>
      </c>
      <c r="D8" s="107">
        <v>0.0</v>
      </c>
      <c r="E8" s="107">
        <v>1.0</v>
      </c>
      <c r="F8" s="107">
        <v>2.0</v>
      </c>
      <c r="G8" s="107">
        <v>3.0</v>
      </c>
      <c r="H8" s="107">
        <v>4.0</v>
      </c>
      <c r="I8" s="107">
        <v>5.0</v>
      </c>
      <c r="J8" s="107">
        <v>6.0</v>
      </c>
      <c r="K8" s="107">
        <v>7.0</v>
      </c>
    </row>
    <row r="9" ht="15.75" customHeight="1">
      <c r="A9" s="106" t="s">
        <v>17</v>
      </c>
      <c r="B9" s="107">
        <v>2.0</v>
      </c>
      <c r="C9" s="107">
        <v>3.0</v>
      </c>
      <c r="D9" s="107">
        <v>4.0</v>
      </c>
      <c r="E9" s="107">
        <v>5.0</v>
      </c>
      <c r="F9" s="107">
        <v>6.0</v>
      </c>
      <c r="G9" s="107">
        <v>8.0</v>
      </c>
      <c r="H9" s="107">
        <v>10.0</v>
      </c>
      <c r="I9" s="107">
        <v>12.0</v>
      </c>
      <c r="J9" s="107">
        <v>14.0</v>
      </c>
      <c r="K9" s="107">
        <v>16.0</v>
      </c>
    </row>
    <row r="10" ht="15.75" customHeight="1">
      <c r="A10" s="106" t="s">
        <v>22</v>
      </c>
      <c r="B10" s="107">
        <v>-2.0</v>
      </c>
      <c r="C10" s="107">
        <v>-1.0</v>
      </c>
      <c r="D10" s="107">
        <v>0.0</v>
      </c>
      <c r="E10" s="107">
        <v>0.0</v>
      </c>
      <c r="F10" s="107">
        <v>1.0</v>
      </c>
      <c r="G10" s="107">
        <v>2.0</v>
      </c>
      <c r="H10" s="107">
        <v>3.0</v>
      </c>
      <c r="I10" s="107">
        <v>4.0</v>
      </c>
      <c r="J10" s="107">
        <v>5.0</v>
      </c>
      <c r="K10" s="107">
        <v>6.0</v>
      </c>
    </row>
    <row r="11" ht="15.75" customHeight="1">
      <c r="A11" s="106" t="s">
        <v>27</v>
      </c>
      <c r="B11" s="107">
        <v>-2.0</v>
      </c>
      <c r="C11" s="107">
        <v>-1.0</v>
      </c>
      <c r="D11" s="107">
        <v>0.0</v>
      </c>
      <c r="E11" s="107">
        <v>1.0</v>
      </c>
      <c r="F11" s="107">
        <v>3.0</v>
      </c>
      <c r="G11" s="107">
        <v>5.0</v>
      </c>
      <c r="H11" s="107">
        <v>7.0</v>
      </c>
      <c r="I11" s="107">
        <v>9.0</v>
      </c>
      <c r="J11" s="107">
        <v>11.0</v>
      </c>
      <c r="K11" s="107">
        <v>12.0</v>
      </c>
    </row>
    <row r="12" ht="15.75" customHeight="1">
      <c r="A12" s="106" t="s">
        <v>31</v>
      </c>
      <c r="B12" s="107">
        <v>0.0</v>
      </c>
      <c r="C12" s="107">
        <v>0.0</v>
      </c>
      <c r="D12" s="107">
        <v>5.0</v>
      </c>
      <c r="E12" s="107">
        <v>5.0</v>
      </c>
      <c r="F12" s="107">
        <v>8.0</v>
      </c>
      <c r="G12" s="107">
        <v>10.0</v>
      </c>
      <c r="H12" s="107">
        <v>12.0</v>
      </c>
      <c r="I12" s="107">
        <v>15.0</v>
      </c>
      <c r="J12" s="107">
        <v>18.0</v>
      </c>
      <c r="K12" s="107">
        <v>20.0</v>
      </c>
    </row>
    <row r="13" ht="15.75" customHeight="1">
      <c r="A13" s="106" t="s">
        <v>35</v>
      </c>
      <c r="B13" s="107">
        <v>0.0</v>
      </c>
      <c r="C13" s="107">
        <v>5.0</v>
      </c>
      <c r="D13" s="107">
        <v>5.0</v>
      </c>
      <c r="E13" s="107">
        <v>8.0</v>
      </c>
      <c r="F13" s="107">
        <v>8.0</v>
      </c>
      <c r="G13" s="107">
        <v>12.0</v>
      </c>
      <c r="H13" s="107">
        <v>15.0</v>
      </c>
      <c r="I13" s="107">
        <v>18.0</v>
      </c>
      <c r="J13" s="107">
        <v>18.0</v>
      </c>
      <c r="K13" s="107">
        <v>20.0</v>
      </c>
    </row>
    <row r="14" ht="15.75" customHeight="1">
      <c r="A14" s="106" t="s">
        <v>40</v>
      </c>
      <c r="B14" s="107">
        <v>0.0</v>
      </c>
      <c r="C14" s="107">
        <v>0.0</v>
      </c>
      <c r="D14" s="107">
        <v>0.0</v>
      </c>
      <c r="E14" s="107">
        <v>0.0</v>
      </c>
      <c r="F14" s="107">
        <v>0.0</v>
      </c>
      <c r="G14" s="107">
        <v>1.0</v>
      </c>
      <c r="H14" s="107">
        <v>1.0</v>
      </c>
      <c r="I14" s="107">
        <v>1.0</v>
      </c>
      <c r="J14" s="107">
        <v>1.0</v>
      </c>
      <c r="K14" s="107">
        <v>1.0</v>
      </c>
    </row>
    <row r="15" ht="15.75" customHeight="1"/>
    <row r="16" ht="15.75" customHeight="1">
      <c r="A16" s="95" t="s">
        <v>467</v>
      </c>
    </row>
    <row r="17" ht="15.75" customHeight="1">
      <c r="A17" s="95" t="s">
        <v>468</v>
      </c>
    </row>
    <row r="18" ht="15.75" customHeight="1">
      <c r="A18" s="94" t="s">
        <v>469</v>
      </c>
    </row>
    <row r="19" ht="15.75" customHeight="1"/>
    <row r="20" ht="15.75" customHeight="1">
      <c r="A20" s="95" t="s">
        <v>470</v>
      </c>
    </row>
    <row r="21" ht="15.75" customHeight="1">
      <c r="A21" s="94" t="s">
        <v>471</v>
      </c>
    </row>
    <row r="22" ht="15.75" customHeight="1"/>
    <row r="23" ht="15.75" customHeight="1">
      <c r="A23" s="95" t="s">
        <v>58</v>
      </c>
      <c r="B23" s="95" t="s">
        <v>37</v>
      </c>
      <c r="C23" s="95" t="s">
        <v>59</v>
      </c>
      <c r="D23" s="95" t="s">
        <v>60</v>
      </c>
      <c r="E23" s="95" t="s">
        <v>472</v>
      </c>
      <c r="F23" s="95" t="s">
        <v>54</v>
      </c>
    </row>
    <row r="24" ht="15.75" customHeight="1">
      <c r="A24" s="108" t="s">
        <v>24</v>
      </c>
      <c r="B24" s="95"/>
      <c r="C24" s="95"/>
      <c r="D24" s="95"/>
      <c r="E24" s="95"/>
      <c r="F24" s="95"/>
    </row>
    <row r="25" ht="15.75" customHeight="1">
      <c r="A25" s="94" t="s">
        <v>198</v>
      </c>
    </row>
    <row r="26" ht="15.75" customHeight="1">
      <c r="A26" s="94" t="s">
        <v>61</v>
      </c>
      <c r="B26" s="103" t="s">
        <v>473</v>
      </c>
      <c r="C26" s="103" t="s">
        <v>474</v>
      </c>
      <c r="D26" s="104" t="s">
        <v>475</v>
      </c>
      <c r="E26" s="94" t="s">
        <v>476</v>
      </c>
      <c r="F26" s="103" t="s">
        <v>477</v>
      </c>
    </row>
    <row r="27" ht="15.75" customHeight="1">
      <c r="A27" s="94" t="s">
        <v>199</v>
      </c>
      <c r="B27" s="95" t="s">
        <v>478</v>
      </c>
      <c r="C27" s="99" t="s">
        <v>264</v>
      </c>
      <c r="D27" s="104" t="s">
        <v>479</v>
      </c>
      <c r="E27" s="95" t="s">
        <v>254</v>
      </c>
      <c r="F27" s="94" t="s">
        <v>480</v>
      </c>
    </row>
    <row r="28" ht="15.75" customHeight="1">
      <c r="A28" s="94" t="s">
        <v>200</v>
      </c>
      <c r="B28" s="94" t="s">
        <v>481</v>
      </c>
      <c r="C28" s="103" t="s">
        <v>482</v>
      </c>
      <c r="D28" s="94">
        <v>0.0</v>
      </c>
      <c r="E28" s="95" t="s">
        <v>254</v>
      </c>
      <c r="F28" s="94" t="s">
        <v>483</v>
      </c>
    </row>
    <row r="29" ht="15.75" customHeight="1">
      <c r="A29" s="94" t="s">
        <v>201</v>
      </c>
      <c r="B29" s="94" t="s">
        <v>484</v>
      </c>
      <c r="C29" s="103" t="s">
        <v>485</v>
      </c>
      <c r="D29" s="104">
        <v>0.0</v>
      </c>
      <c r="E29" s="95" t="s">
        <v>254</v>
      </c>
      <c r="F29" s="94" t="s">
        <v>486</v>
      </c>
    </row>
    <row r="30" ht="15.75" customHeight="1">
      <c r="A30" s="94" t="s">
        <v>202</v>
      </c>
      <c r="B30" s="94" t="s">
        <v>487</v>
      </c>
      <c r="C30" s="103" t="s">
        <v>488</v>
      </c>
      <c r="D30" s="96">
        <v>0.0</v>
      </c>
      <c r="E30" s="95" t="s">
        <v>254</v>
      </c>
      <c r="F30" s="109" t="s">
        <v>489</v>
      </c>
    </row>
    <row r="31" ht="15.75" customHeight="1">
      <c r="A31" s="94" t="s">
        <v>203</v>
      </c>
      <c r="B31" s="94" t="s">
        <v>487</v>
      </c>
      <c r="C31" s="103" t="s">
        <v>490</v>
      </c>
      <c r="D31" s="104" t="s">
        <v>491</v>
      </c>
      <c r="E31" s="95" t="s">
        <v>254</v>
      </c>
      <c r="F31" s="94" t="s">
        <v>492</v>
      </c>
    </row>
    <row r="32" ht="15.75" customHeight="1">
      <c r="A32" s="94" t="s">
        <v>204</v>
      </c>
      <c r="B32" s="94" t="s">
        <v>487</v>
      </c>
      <c r="C32" s="94" t="s">
        <v>264</v>
      </c>
      <c r="D32" s="104">
        <v>2.0</v>
      </c>
      <c r="E32" s="95" t="s">
        <v>254</v>
      </c>
      <c r="F32" s="94" t="s">
        <v>493</v>
      </c>
    </row>
    <row r="33" ht="15.75" customHeight="1">
      <c r="A33" s="94" t="s">
        <v>205</v>
      </c>
      <c r="B33" s="94" t="s">
        <v>487</v>
      </c>
      <c r="C33" s="94" t="s">
        <v>494</v>
      </c>
      <c r="D33" s="96">
        <v>0.0</v>
      </c>
      <c r="E33" s="94" t="s">
        <v>495</v>
      </c>
      <c r="F33" s="94" t="s">
        <v>496</v>
      </c>
    </row>
    <row r="34" ht="15.75" customHeight="1">
      <c r="A34" s="94" t="s">
        <v>206</v>
      </c>
      <c r="B34" s="95"/>
      <c r="C34" s="99"/>
      <c r="D34" s="95"/>
      <c r="E34" s="95"/>
      <c r="F34" s="95"/>
    </row>
    <row r="35" ht="15.75" customHeight="1">
      <c r="A35" s="94" t="s">
        <v>207</v>
      </c>
      <c r="B35" s="94" t="s">
        <v>484</v>
      </c>
      <c r="C35" s="103" t="s">
        <v>497</v>
      </c>
      <c r="D35" s="94">
        <v>0.0</v>
      </c>
      <c r="E35" s="94" t="s">
        <v>498</v>
      </c>
      <c r="F35" s="94" t="s">
        <v>499</v>
      </c>
      <c r="G35" s="110"/>
    </row>
    <row r="36" ht="15.75" customHeight="1">
      <c r="A36" s="94" t="s">
        <v>208</v>
      </c>
      <c r="B36" s="94" t="s">
        <v>484</v>
      </c>
      <c r="C36" s="103" t="s">
        <v>500</v>
      </c>
      <c r="D36" s="94">
        <v>0.0</v>
      </c>
      <c r="E36" s="94" t="s">
        <v>501</v>
      </c>
      <c r="F36" s="94" t="s">
        <v>502</v>
      </c>
    </row>
    <row r="37" ht="15.75" customHeight="1">
      <c r="A37" s="94" t="s">
        <v>209</v>
      </c>
      <c r="B37" s="110" t="s">
        <v>503</v>
      </c>
      <c r="C37" s="94" t="s">
        <v>264</v>
      </c>
      <c r="D37" s="104">
        <v>0.0</v>
      </c>
      <c r="E37" s="110" t="s">
        <v>504</v>
      </c>
      <c r="F37" s="94" t="s">
        <v>505</v>
      </c>
    </row>
    <row r="38" ht="15.75" customHeight="1">
      <c r="A38" s="94" t="s">
        <v>210</v>
      </c>
      <c r="B38" s="95"/>
      <c r="C38" s="99"/>
      <c r="D38" s="95"/>
      <c r="E38" s="95"/>
      <c r="F38" s="95"/>
    </row>
    <row r="39" ht="15.75" customHeight="1">
      <c r="A39" s="94" t="s">
        <v>211</v>
      </c>
      <c r="B39" s="94" t="s">
        <v>503</v>
      </c>
      <c r="C39" s="94" t="s">
        <v>264</v>
      </c>
      <c r="D39" s="96">
        <v>0.0</v>
      </c>
      <c r="E39" s="94" t="s">
        <v>476</v>
      </c>
      <c r="F39" s="94" t="s">
        <v>506</v>
      </c>
    </row>
    <row r="40" ht="15.75" customHeight="1">
      <c r="A40" s="94" t="s">
        <v>212</v>
      </c>
      <c r="B40" s="94" t="s">
        <v>503</v>
      </c>
      <c r="C40" s="94" t="s">
        <v>264</v>
      </c>
      <c r="D40" s="96">
        <v>0.0</v>
      </c>
      <c r="E40" s="95" t="s">
        <v>254</v>
      </c>
      <c r="F40" s="94" t="s">
        <v>507</v>
      </c>
    </row>
    <row r="41" ht="15.75" customHeight="1">
      <c r="A41" s="94" t="s">
        <v>213</v>
      </c>
      <c r="B41" s="94" t="s">
        <v>503</v>
      </c>
      <c r="C41" s="94" t="s">
        <v>264</v>
      </c>
      <c r="D41" s="96">
        <v>0.0</v>
      </c>
      <c r="E41" s="95" t="s">
        <v>254</v>
      </c>
      <c r="F41" s="94" t="s">
        <v>508</v>
      </c>
    </row>
    <row r="42" ht="15.75" customHeight="1">
      <c r="A42" s="94" t="s">
        <v>214</v>
      </c>
      <c r="B42" s="94" t="s">
        <v>509</v>
      </c>
      <c r="C42" s="94" t="s">
        <v>264</v>
      </c>
      <c r="D42" s="96">
        <v>0.0</v>
      </c>
      <c r="E42" s="95" t="s">
        <v>254</v>
      </c>
      <c r="F42" s="94" t="s">
        <v>510</v>
      </c>
    </row>
    <row r="43" ht="15.75" customHeight="1">
      <c r="A43" s="94" t="s">
        <v>215</v>
      </c>
      <c r="B43" s="97" t="s">
        <v>511</v>
      </c>
      <c r="C43" s="97" t="s">
        <v>512</v>
      </c>
      <c r="D43" s="97">
        <v>5.0</v>
      </c>
      <c r="E43" s="94" t="s">
        <v>211</v>
      </c>
      <c r="F43" s="97" t="s">
        <v>513</v>
      </c>
    </row>
    <row r="44" ht="15.75" customHeight="1">
      <c r="A44" s="94" t="s">
        <v>216</v>
      </c>
      <c r="B44" s="94" t="s">
        <v>503</v>
      </c>
      <c r="C44" s="97" t="s">
        <v>512</v>
      </c>
      <c r="D44" s="97">
        <v>15.0</v>
      </c>
      <c r="E44" s="94" t="s">
        <v>514</v>
      </c>
      <c r="F44" s="97" t="s">
        <v>515</v>
      </c>
    </row>
    <row r="45" ht="15.75" customHeight="1">
      <c r="A45" s="94" t="s">
        <v>217</v>
      </c>
      <c r="B45" s="97" t="s">
        <v>511</v>
      </c>
      <c r="C45" s="97" t="s">
        <v>516</v>
      </c>
      <c r="D45" s="97">
        <v>0.0</v>
      </c>
      <c r="E45" s="94" t="s">
        <v>517</v>
      </c>
      <c r="F45" s="97" t="s">
        <v>518</v>
      </c>
    </row>
    <row r="46" ht="15.75" customHeight="1">
      <c r="A46" s="94" t="s">
        <v>218</v>
      </c>
      <c r="B46" s="94" t="s">
        <v>487</v>
      </c>
      <c r="C46" s="97" t="s">
        <v>519</v>
      </c>
      <c r="D46" s="97">
        <v>0.0</v>
      </c>
      <c r="E46" s="94" t="s">
        <v>520</v>
      </c>
      <c r="F46" s="97" t="s">
        <v>521</v>
      </c>
    </row>
    <row r="47" ht="15.75" customHeight="1">
      <c r="A47" s="94" t="s">
        <v>219</v>
      </c>
      <c r="B47" s="97" t="s">
        <v>484</v>
      </c>
      <c r="C47" s="97" t="s">
        <v>522</v>
      </c>
      <c r="D47" s="97">
        <v>5.0</v>
      </c>
      <c r="E47" s="95" t="s">
        <v>254</v>
      </c>
      <c r="F47" s="97" t="s">
        <v>523</v>
      </c>
    </row>
    <row r="48" ht="15.75" customHeight="1">
      <c r="A48" s="94" t="s">
        <v>220</v>
      </c>
      <c r="B48" s="97" t="s">
        <v>484</v>
      </c>
      <c r="C48" s="97" t="s">
        <v>524</v>
      </c>
      <c r="D48" s="97">
        <v>0.0</v>
      </c>
      <c r="E48" s="95" t="s">
        <v>254</v>
      </c>
      <c r="F48" s="97" t="s">
        <v>525</v>
      </c>
    </row>
    <row r="49" ht="15.75" customHeight="1">
      <c r="A49" s="94" t="s">
        <v>221</v>
      </c>
      <c r="B49" s="97" t="s">
        <v>484</v>
      </c>
      <c r="C49" s="97" t="s">
        <v>524</v>
      </c>
      <c r="D49" s="97">
        <v>0.0</v>
      </c>
      <c r="E49" s="95" t="s">
        <v>254</v>
      </c>
      <c r="F49" s="97" t="s">
        <v>526</v>
      </c>
    </row>
    <row r="50" ht="15.75" customHeight="1">
      <c r="A50" s="94" t="s">
        <v>222</v>
      </c>
      <c r="B50" s="97" t="s">
        <v>484</v>
      </c>
      <c r="C50" s="97" t="s">
        <v>527</v>
      </c>
      <c r="D50" s="97">
        <v>0.0</v>
      </c>
      <c r="E50" s="94" t="s">
        <v>528</v>
      </c>
      <c r="F50" s="97" t="s">
        <v>529</v>
      </c>
    </row>
    <row r="51" ht="15.75" customHeight="1">
      <c r="A51" s="94" t="s">
        <v>223</v>
      </c>
      <c r="B51" s="94" t="s">
        <v>503</v>
      </c>
      <c r="C51" s="94" t="s">
        <v>264</v>
      </c>
      <c r="D51" s="96">
        <v>0.0</v>
      </c>
      <c r="E51" s="94" t="s">
        <v>530</v>
      </c>
      <c r="F51" s="97" t="s">
        <v>531</v>
      </c>
    </row>
    <row r="52" ht="15.75" customHeight="1">
      <c r="A52" s="94" t="s">
        <v>224</v>
      </c>
      <c r="B52" s="97" t="s">
        <v>511</v>
      </c>
      <c r="C52" s="97" t="s">
        <v>532</v>
      </c>
      <c r="D52" s="96">
        <v>0.0</v>
      </c>
      <c r="E52" s="94" t="s">
        <v>533</v>
      </c>
      <c r="F52" s="97" t="s">
        <v>534</v>
      </c>
    </row>
    <row r="53" ht="15.75" customHeight="1">
      <c r="A53" s="95"/>
      <c r="E53" s="95"/>
    </row>
    <row r="54" ht="15.75" customHeight="1">
      <c r="A54" s="94" t="s">
        <v>225</v>
      </c>
      <c r="E54" s="95"/>
    </row>
    <row r="55" ht="15.75" customHeight="1">
      <c r="A55" s="94" t="s">
        <v>226</v>
      </c>
      <c r="B55" s="94" t="s">
        <v>503</v>
      </c>
      <c r="C55" s="94" t="s">
        <v>264</v>
      </c>
      <c r="D55" s="96">
        <v>0.0</v>
      </c>
      <c r="E55" s="95" t="s">
        <v>254</v>
      </c>
      <c r="F55" s="94" t="s">
        <v>535</v>
      </c>
    </row>
    <row r="56" ht="15.75" customHeight="1">
      <c r="A56" s="94" t="s">
        <v>227</v>
      </c>
      <c r="B56" s="94" t="s">
        <v>487</v>
      </c>
      <c r="C56" s="103" t="s">
        <v>536</v>
      </c>
      <c r="D56" s="96">
        <v>0.0</v>
      </c>
      <c r="E56" s="94" t="s">
        <v>226</v>
      </c>
      <c r="F56" s="94" t="s">
        <v>537</v>
      </c>
    </row>
    <row r="57" ht="15.75" customHeight="1">
      <c r="A57" s="94" t="s">
        <v>228</v>
      </c>
      <c r="B57" s="94" t="s">
        <v>487</v>
      </c>
      <c r="C57" s="103" t="s">
        <v>512</v>
      </c>
      <c r="D57" s="96">
        <v>0.0</v>
      </c>
      <c r="E57" s="94" t="s">
        <v>538</v>
      </c>
      <c r="F57" s="94" t="s">
        <v>539</v>
      </c>
    </row>
    <row r="58" ht="15.75" customHeight="1">
      <c r="A58" s="94" t="s">
        <v>229</v>
      </c>
      <c r="B58" s="94" t="s">
        <v>487</v>
      </c>
      <c r="C58" s="103" t="s">
        <v>540</v>
      </c>
      <c r="D58" s="104" t="s">
        <v>541</v>
      </c>
      <c r="E58" s="94" t="s">
        <v>542</v>
      </c>
      <c r="F58" s="94" t="s">
        <v>543</v>
      </c>
    </row>
    <row r="59" ht="15.75" customHeight="1">
      <c r="A59" s="94" t="s">
        <v>230</v>
      </c>
      <c r="B59" s="97" t="s">
        <v>511</v>
      </c>
      <c r="C59" s="103" t="s">
        <v>544</v>
      </c>
      <c r="D59" s="96">
        <v>0.0</v>
      </c>
      <c r="E59" s="94" t="s">
        <v>226</v>
      </c>
      <c r="F59" s="94" t="s">
        <v>545</v>
      </c>
    </row>
    <row r="60" ht="15.75" customHeight="1">
      <c r="A60" s="94" t="s">
        <v>231</v>
      </c>
      <c r="B60" s="111" t="s">
        <v>487</v>
      </c>
      <c r="C60" s="94" t="s">
        <v>546</v>
      </c>
      <c r="D60" s="96">
        <v>0.0</v>
      </c>
      <c r="E60" s="94" t="s">
        <v>547</v>
      </c>
      <c r="F60" s="94" t="s">
        <v>548</v>
      </c>
    </row>
    <row r="61" ht="15.75" customHeight="1">
      <c r="A61" s="97" t="s">
        <v>232</v>
      </c>
      <c r="B61" s="111" t="s">
        <v>487</v>
      </c>
      <c r="C61" s="94" t="s">
        <v>519</v>
      </c>
      <c r="D61" s="96">
        <v>0.0</v>
      </c>
      <c r="E61" s="94" t="s">
        <v>226</v>
      </c>
      <c r="F61" s="97" t="s">
        <v>549</v>
      </c>
    </row>
    <row r="62" ht="15.75" customHeight="1">
      <c r="A62" s="97" t="s">
        <v>233</v>
      </c>
      <c r="B62" s="94" t="s">
        <v>503</v>
      </c>
      <c r="C62" s="94" t="s">
        <v>264</v>
      </c>
      <c r="D62" s="96">
        <v>0.0</v>
      </c>
      <c r="E62" s="95" t="s">
        <v>254</v>
      </c>
      <c r="F62" s="97" t="s">
        <v>550</v>
      </c>
    </row>
    <row r="63" ht="15.75" customHeight="1">
      <c r="A63" s="97" t="s">
        <v>234</v>
      </c>
      <c r="B63" s="94" t="s">
        <v>503</v>
      </c>
      <c r="C63" s="94" t="s">
        <v>264</v>
      </c>
      <c r="D63" s="104" t="s">
        <v>551</v>
      </c>
      <c r="E63" s="97" t="s">
        <v>233</v>
      </c>
      <c r="F63" s="97" t="s">
        <v>552</v>
      </c>
    </row>
    <row r="64" ht="15.75" customHeight="1">
      <c r="A64" s="97" t="s">
        <v>235</v>
      </c>
      <c r="B64" s="94" t="s">
        <v>487</v>
      </c>
      <c r="C64" s="97" t="s">
        <v>553</v>
      </c>
      <c r="D64" s="97">
        <v>0.0</v>
      </c>
      <c r="E64" s="97" t="s">
        <v>554</v>
      </c>
      <c r="F64" s="97" t="s">
        <v>555</v>
      </c>
    </row>
    <row r="65" ht="15.75" customHeight="1">
      <c r="A65" s="97" t="s">
        <v>236</v>
      </c>
      <c r="B65" s="94" t="s">
        <v>487</v>
      </c>
      <c r="C65" s="97" t="s">
        <v>553</v>
      </c>
      <c r="D65" s="97">
        <v>0.0</v>
      </c>
      <c r="E65" s="97" t="s">
        <v>554</v>
      </c>
      <c r="F65" s="97" t="s">
        <v>556</v>
      </c>
    </row>
    <row r="66" ht="15.75" customHeight="1">
      <c r="A66" s="97" t="s">
        <v>237</v>
      </c>
      <c r="B66" s="97" t="s">
        <v>557</v>
      </c>
      <c r="C66" s="97" t="s">
        <v>558</v>
      </c>
      <c r="D66" s="97">
        <v>0.0</v>
      </c>
      <c r="E66" s="97" t="s">
        <v>233</v>
      </c>
      <c r="F66" s="97" t="s">
        <v>559</v>
      </c>
    </row>
    <row r="67" ht="15.75" customHeight="1">
      <c r="A67" s="97" t="s">
        <v>238</v>
      </c>
      <c r="B67" s="97" t="s">
        <v>484</v>
      </c>
      <c r="C67" s="97" t="s">
        <v>560</v>
      </c>
      <c r="D67" s="97">
        <v>2.0</v>
      </c>
      <c r="E67" s="97" t="s">
        <v>561</v>
      </c>
      <c r="F67" s="97" t="s">
        <v>562</v>
      </c>
    </row>
    <row r="68" ht="15.75" customHeight="1">
      <c r="A68" s="97" t="s">
        <v>239</v>
      </c>
      <c r="B68" s="97" t="s">
        <v>511</v>
      </c>
      <c r="C68" s="97" t="s">
        <v>563</v>
      </c>
      <c r="D68" s="97">
        <v>0.0</v>
      </c>
      <c r="E68" s="112" t="s">
        <v>564</v>
      </c>
      <c r="F68" s="97" t="s">
        <v>565</v>
      </c>
    </row>
    <row r="69" ht="15.75" customHeight="1">
      <c r="A69" s="97" t="s">
        <v>240</v>
      </c>
    </row>
    <row r="70" ht="15.75" customHeight="1">
      <c r="A70" s="97" t="s">
        <v>241</v>
      </c>
      <c r="B70" s="97" t="s">
        <v>511</v>
      </c>
      <c r="C70" s="97" t="s">
        <v>566</v>
      </c>
      <c r="D70" s="97">
        <v>0.0</v>
      </c>
      <c r="E70" s="97" t="s">
        <v>567</v>
      </c>
      <c r="F70" s="97" t="s">
        <v>568</v>
      </c>
    </row>
    <row r="71" ht="15.75" customHeight="1">
      <c r="A71" s="97" t="s">
        <v>242</v>
      </c>
      <c r="B71" s="94" t="s">
        <v>487</v>
      </c>
      <c r="C71" s="97" t="s">
        <v>563</v>
      </c>
      <c r="D71" s="97">
        <v>0.0</v>
      </c>
      <c r="E71" s="97" t="s">
        <v>569</v>
      </c>
      <c r="F71" s="97" t="s">
        <v>570</v>
      </c>
    </row>
    <row r="72" ht="15.75" customHeight="1">
      <c r="A72" s="97" t="s">
        <v>243</v>
      </c>
      <c r="B72" s="97" t="s">
        <v>511</v>
      </c>
      <c r="C72" s="94" t="s">
        <v>519</v>
      </c>
      <c r="D72" s="97">
        <v>0.0</v>
      </c>
      <c r="E72" s="110" t="s">
        <v>571</v>
      </c>
      <c r="F72" s="97" t="s">
        <v>572</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26" width="12.63"/>
  </cols>
  <sheetData>
    <row r="1" ht="15.75" customHeight="1">
      <c r="A1" s="95" t="s">
        <v>573</v>
      </c>
    </row>
    <row r="2" ht="15.75" customHeight="1">
      <c r="A2" s="95" t="s">
        <v>574</v>
      </c>
    </row>
    <row r="3" ht="15.75" customHeight="1">
      <c r="A3" s="95" t="s">
        <v>33</v>
      </c>
      <c r="B3" s="95" t="s">
        <v>38</v>
      </c>
      <c r="C3" s="95" t="s">
        <v>42</v>
      </c>
      <c r="D3" s="95" t="s">
        <v>48</v>
      </c>
    </row>
    <row r="4" ht="15.75" customHeight="1">
      <c r="A4" s="96">
        <v>4.0</v>
      </c>
      <c r="B4" s="96">
        <v>4.0</v>
      </c>
      <c r="C4" s="96">
        <v>2.0</v>
      </c>
      <c r="D4" s="96">
        <v>2.0</v>
      </c>
    </row>
    <row r="5" ht="15.75" customHeight="1"/>
    <row r="6" ht="15.75" customHeight="1">
      <c r="A6" s="105" t="s">
        <v>465</v>
      </c>
    </row>
    <row r="7" ht="15.75" customHeight="1">
      <c r="A7" s="106" t="s">
        <v>466</v>
      </c>
      <c r="B7" s="106">
        <v>1.0</v>
      </c>
      <c r="C7" s="106">
        <v>2.0</v>
      </c>
      <c r="D7" s="106">
        <v>3.0</v>
      </c>
      <c r="E7" s="106">
        <v>4.0</v>
      </c>
      <c r="F7" s="106">
        <v>5.0</v>
      </c>
      <c r="G7" s="106">
        <v>6.0</v>
      </c>
      <c r="H7" s="106">
        <v>7.0</v>
      </c>
      <c r="I7" s="106">
        <v>8.0</v>
      </c>
      <c r="J7" s="106">
        <v>9.0</v>
      </c>
      <c r="K7" s="106">
        <v>10.0</v>
      </c>
    </row>
    <row r="8" ht="15.75" customHeight="1">
      <c r="A8" s="106" t="s">
        <v>13</v>
      </c>
      <c r="B8" s="106">
        <v>0.0</v>
      </c>
      <c r="C8" s="106">
        <v>1.0</v>
      </c>
      <c r="D8" s="106">
        <v>2.0</v>
      </c>
      <c r="E8" s="106">
        <v>3.0</v>
      </c>
      <c r="F8" s="106">
        <v>6.0</v>
      </c>
      <c r="G8" s="106">
        <v>8.0</v>
      </c>
      <c r="H8" s="106">
        <v>10.0</v>
      </c>
      <c r="I8" s="106">
        <v>12.0</v>
      </c>
      <c r="J8" s="106">
        <v>14.0</v>
      </c>
      <c r="K8" s="96">
        <v>16.0</v>
      </c>
    </row>
    <row r="9" ht="15.75" customHeight="1">
      <c r="A9" s="106" t="s">
        <v>17</v>
      </c>
      <c r="B9" s="106">
        <v>-2.0</v>
      </c>
      <c r="C9" s="106">
        <v>-1.0</v>
      </c>
      <c r="D9" s="106">
        <v>0.0</v>
      </c>
      <c r="E9" s="106">
        <v>1.0</v>
      </c>
      <c r="F9" s="106">
        <v>2.0</v>
      </c>
      <c r="G9" s="106">
        <v>3.0</v>
      </c>
      <c r="H9" s="106">
        <v>4.0</v>
      </c>
      <c r="I9" s="106">
        <v>5.0</v>
      </c>
      <c r="J9" s="106">
        <v>6.0</v>
      </c>
      <c r="K9" s="96">
        <v>7.0</v>
      </c>
    </row>
    <row r="10" ht="15.75" customHeight="1">
      <c r="A10" s="106" t="s">
        <v>22</v>
      </c>
      <c r="B10" s="106">
        <v>-2.0</v>
      </c>
      <c r="C10" s="106">
        <v>-1.0</v>
      </c>
      <c r="D10" s="106">
        <v>0.0</v>
      </c>
      <c r="E10" s="106">
        <v>1.0</v>
      </c>
      <c r="F10" s="106">
        <v>2.0</v>
      </c>
      <c r="G10" s="106">
        <v>3.0</v>
      </c>
      <c r="H10" s="106">
        <v>4.0</v>
      </c>
      <c r="I10" s="106">
        <v>5.0</v>
      </c>
      <c r="J10" s="106">
        <v>6.0</v>
      </c>
      <c r="K10" s="96">
        <v>7.0</v>
      </c>
    </row>
    <row r="11" ht="15.75" customHeight="1">
      <c r="A11" s="106" t="s">
        <v>27</v>
      </c>
      <c r="B11" s="106">
        <v>-1.0</v>
      </c>
      <c r="C11" s="106">
        <v>0.0</v>
      </c>
      <c r="D11" s="106">
        <v>1.0</v>
      </c>
      <c r="E11" s="106">
        <v>2.0</v>
      </c>
      <c r="F11" s="106">
        <v>5.0</v>
      </c>
      <c r="G11" s="106">
        <v>7.0</v>
      </c>
      <c r="H11" s="106">
        <v>9.0</v>
      </c>
      <c r="I11" s="106">
        <v>11.0</v>
      </c>
      <c r="J11" s="106">
        <v>13.0</v>
      </c>
      <c r="K11" s="96">
        <v>15.0</v>
      </c>
    </row>
    <row r="12" ht="15.75" customHeight="1">
      <c r="A12" s="106" t="s">
        <v>31</v>
      </c>
      <c r="B12" s="106">
        <v>0.0</v>
      </c>
      <c r="C12" s="106">
        <v>4.0</v>
      </c>
      <c r="D12" s="106">
        <v>13.0</v>
      </c>
      <c r="E12" s="106">
        <v>19.0</v>
      </c>
      <c r="F12" s="106">
        <v>22.0</v>
      </c>
      <c r="G12" s="106">
        <v>25.0</v>
      </c>
      <c r="H12" s="106">
        <v>28.0</v>
      </c>
      <c r="I12" s="106">
        <v>31.0</v>
      </c>
      <c r="J12" s="106">
        <v>34.0</v>
      </c>
      <c r="K12" s="96">
        <v>37.0</v>
      </c>
    </row>
    <row r="13" ht="15.75" customHeight="1">
      <c r="A13" s="106" t="s">
        <v>35</v>
      </c>
      <c r="B13" s="106">
        <v>0.0</v>
      </c>
      <c r="C13" s="106">
        <v>8.0</v>
      </c>
      <c r="D13" s="106">
        <v>8.0</v>
      </c>
      <c r="E13" s="106">
        <v>11.0</v>
      </c>
      <c r="F13" s="106">
        <v>12.0</v>
      </c>
      <c r="G13" s="106">
        <v>14.0</v>
      </c>
      <c r="H13" s="106">
        <v>15.0</v>
      </c>
      <c r="I13" s="106">
        <v>18.0</v>
      </c>
      <c r="J13" s="106">
        <v>18.0</v>
      </c>
      <c r="K13" s="96">
        <v>21.0</v>
      </c>
    </row>
    <row r="14" ht="15.75" customHeight="1">
      <c r="A14" s="106" t="s">
        <v>40</v>
      </c>
      <c r="B14" s="106">
        <v>0.0</v>
      </c>
      <c r="C14" s="106">
        <v>0.0</v>
      </c>
      <c r="D14" s="106">
        <v>0.0</v>
      </c>
      <c r="E14" s="106">
        <v>1.0</v>
      </c>
      <c r="F14" s="106">
        <v>1.0</v>
      </c>
      <c r="G14" s="106">
        <v>2.0</v>
      </c>
      <c r="H14" s="106">
        <v>2.0</v>
      </c>
      <c r="I14" s="106">
        <v>2.0</v>
      </c>
      <c r="J14" s="106">
        <v>3.0</v>
      </c>
      <c r="K14" s="96">
        <v>3.0</v>
      </c>
    </row>
    <row r="15" ht="15.75" customHeight="1"/>
    <row r="16" ht="15.75" customHeight="1">
      <c r="A16" s="95" t="s">
        <v>575</v>
      </c>
    </row>
    <row r="17" ht="15.75" customHeight="1">
      <c r="A17" s="95" t="s">
        <v>468</v>
      </c>
    </row>
    <row r="18" ht="15.75" customHeight="1">
      <c r="A18" s="95" t="s">
        <v>576</v>
      </c>
    </row>
    <row r="19" ht="15.75" customHeight="1"/>
    <row r="20" ht="15.75" customHeight="1">
      <c r="A20" s="95" t="s">
        <v>470</v>
      </c>
    </row>
    <row r="21" ht="15.75" customHeight="1">
      <c r="A21" s="95" t="s">
        <v>577</v>
      </c>
    </row>
    <row r="22" ht="15.75" customHeight="1"/>
    <row r="23" ht="15.75" customHeight="1">
      <c r="A23" s="95" t="s">
        <v>58</v>
      </c>
      <c r="B23" s="95" t="s">
        <v>37</v>
      </c>
      <c r="C23" s="95" t="s">
        <v>59</v>
      </c>
      <c r="D23" s="95" t="s">
        <v>60</v>
      </c>
      <c r="E23" s="95" t="s">
        <v>472</v>
      </c>
      <c r="F23" s="95" t="s">
        <v>54</v>
      </c>
    </row>
    <row r="24" ht="15.75" customHeight="1">
      <c r="A24" s="108" t="s">
        <v>573</v>
      </c>
      <c r="B24" s="95"/>
      <c r="C24" s="95"/>
      <c r="D24" s="95"/>
      <c r="E24" s="95"/>
      <c r="F24" s="95"/>
    </row>
    <row r="25" ht="15.75" customHeight="1">
      <c r="A25" s="95" t="s">
        <v>578</v>
      </c>
    </row>
    <row r="26" ht="15.75" customHeight="1">
      <c r="A26" s="95" t="s">
        <v>579</v>
      </c>
      <c r="B26" s="95" t="s">
        <v>263</v>
      </c>
      <c r="C26" s="99" t="s">
        <v>264</v>
      </c>
      <c r="D26" s="96">
        <v>0.0</v>
      </c>
      <c r="E26" s="95" t="s">
        <v>254</v>
      </c>
      <c r="F26" s="100" t="s">
        <v>580</v>
      </c>
    </row>
    <row r="27" ht="15.75" customHeight="1">
      <c r="A27" s="95" t="s">
        <v>581</v>
      </c>
      <c r="B27" s="95" t="s">
        <v>263</v>
      </c>
      <c r="C27" s="99" t="s">
        <v>264</v>
      </c>
      <c r="D27" s="96">
        <v>2.0</v>
      </c>
      <c r="E27" s="95" t="s">
        <v>254</v>
      </c>
      <c r="F27" s="100" t="s">
        <v>582</v>
      </c>
    </row>
    <row r="28" ht="15.75" customHeight="1">
      <c r="A28" s="95" t="s">
        <v>583</v>
      </c>
      <c r="B28" s="95" t="s">
        <v>584</v>
      </c>
      <c r="C28" s="99" t="s">
        <v>264</v>
      </c>
      <c r="D28" s="96">
        <v>2.0</v>
      </c>
      <c r="E28" s="95" t="s">
        <v>254</v>
      </c>
      <c r="F28" s="96" t="s">
        <v>585</v>
      </c>
    </row>
    <row r="29" ht="15.75" customHeight="1">
      <c r="A29" s="95" t="s">
        <v>586</v>
      </c>
      <c r="B29" s="95" t="s">
        <v>584</v>
      </c>
      <c r="C29" s="99" t="s">
        <v>264</v>
      </c>
      <c r="D29" s="96">
        <v>2.0</v>
      </c>
      <c r="E29" s="95" t="s">
        <v>254</v>
      </c>
      <c r="F29" s="96" t="s">
        <v>587</v>
      </c>
    </row>
    <row r="30" ht="15.75" customHeight="1">
      <c r="A30" s="95" t="s">
        <v>588</v>
      </c>
      <c r="B30" s="95" t="s">
        <v>584</v>
      </c>
      <c r="C30" s="99" t="s">
        <v>264</v>
      </c>
      <c r="D30" s="96">
        <v>2.0</v>
      </c>
      <c r="E30" s="95" t="s">
        <v>254</v>
      </c>
      <c r="F30" s="96" t="s">
        <v>589</v>
      </c>
    </row>
    <row r="31" ht="15.75" customHeight="1">
      <c r="A31" s="95" t="s">
        <v>590</v>
      </c>
      <c r="B31" s="95" t="s">
        <v>321</v>
      </c>
      <c r="C31" s="95" t="s">
        <v>591</v>
      </c>
      <c r="D31" s="96">
        <v>0.0</v>
      </c>
      <c r="E31" s="95" t="s">
        <v>592</v>
      </c>
      <c r="F31" s="96" t="s">
        <v>593</v>
      </c>
    </row>
    <row r="32" ht="15.75" customHeight="1">
      <c r="A32" s="95" t="s">
        <v>594</v>
      </c>
      <c r="B32" s="95" t="s">
        <v>595</v>
      </c>
      <c r="C32" s="99" t="s">
        <v>264</v>
      </c>
      <c r="D32" s="96">
        <v>2.0</v>
      </c>
      <c r="E32" s="95" t="s">
        <v>596</v>
      </c>
      <c r="F32" s="96" t="s">
        <v>597</v>
      </c>
    </row>
    <row r="33" ht="15.75" customHeight="1">
      <c r="A33" s="95" t="s">
        <v>598</v>
      </c>
      <c r="B33" s="95" t="s">
        <v>599</v>
      </c>
      <c r="C33" s="99" t="s">
        <v>264</v>
      </c>
      <c r="D33" s="96">
        <v>2.0</v>
      </c>
      <c r="E33" s="95" t="s">
        <v>600</v>
      </c>
      <c r="F33" s="96" t="s">
        <v>601</v>
      </c>
    </row>
    <row r="34" ht="15.75" customHeight="1">
      <c r="A34" s="95" t="s">
        <v>602</v>
      </c>
      <c r="B34" s="95" t="s">
        <v>252</v>
      </c>
      <c r="C34" s="95" t="s">
        <v>603</v>
      </c>
      <c r="D34" s="96">
        <v>2.0</v>
      </c>
      <c r="E34" s="95" t="s">
        <v>600</v>
      </c>
      <c r="F34" s="96" t="s">
        <v>604</v>
      </c>
    </row>
    <row r="35" ht="15.75" customHeight="1">
      <c r="A35" s="95" t="s">
        <v>605</v>
      </c>
      <c r="B35" s="95" t="s">
        <v>321</v>
      </c>
      <c r="C35" s="95" t="s">
        <v>606</v>
      </c>
      <c r="D35" s="96">
        <v>2.0</v>
      </c>
      <c r="E35" s="95" t="s">
        <v>607</v>
      </c>
      <c r="F35" s="96" t="s">
        <v>608</v>
      </c>
    </row>
    <row r="36" ht="15.75" customHeight="1">
      <c r="A36" s="95" t="s">
        <v>609</v>
      </c>
      <c r="B36" s="95" t="s">
        <v>263</v>
      </c>
      <c r="C36" s="99" t="s">
        <v>264</v>
      </c>
      <c r="D36" s="96">
        <v>0.0</v>
      </c>
      <c r="E36" s="95" t="s">
        <v>607</v>
      </c>
      <c r="F36" s="96" t="s">
        <v>610</v>
      </c>
    </row>
    <row r="37" ht="15.75" customHeight="1">
      <c r="A37" s="95" t="s">
        <v>611</v>
      </c>
      <c r="B37" s="95" t="s">
        <v>595</v>
      </c>
      <c r="C37" s="95" t="s">
        <v>494</v>
      </c>
      <c r="D37" s="96">
        <v>2.0</v>
      </c>
      <c r="E37" s="95" t="s">
        <v>612</v>
      </c>
      <c r="F37" s="96" t="s">
        <v>613</v>
      </c>
    </row>
    <row r="38" ht="15.75" customHeight="1">
      <c r="A38" s="95" t="s">
        <v>614</v>
      </c>
      <c r="B38" s="95" t="s">
        <v>263</v>
      </c>
      <c r="C38" s="99" t="s">
        <v>264</v>
      </c>
      <c r="D38" s="96">
        <v>0.0</v>
      </c>
      <c r="E38" s="95" t="s">
        <v>612</v>
      </c>
      <c r="F38" s="96" t="s">
        <v>615</v>
      </c>
    </row>
    <row r="39" ht="15.75" customHeight="1">
      <c r="A39" s="95" t="s">
        <v>616</v>
      </c>
      <c r="B39" s="95" t="s">
        <v>321</v>
      </c>
      <c r="C39" s="95" t="s">
        <v>603</v>
      </c>
      <c r="D39" s="96">
        <v>0.0</v>
      </c>
      <c r="E39" s="95" t="s">
        <v>617</v>
      </c>
      <c r="F39" s="96" t="s">
        <v>618</v>
      </c>
    </row>
    <row r="40" ht="15.75" customHeight="1">
      <c r="A40" s="95" t="s">
        <v>619</v>
      </c>
      <c r="B40" s="95" t="s">
        <v>321</v>
      </c>
      <c r="C40" s="95" t="s">
        <v>620</v>
      </c>
      <c r="D40" s="96">
        <v>0.0</v>
      </c>
      <c r="E40" s="95" t="s">
        <v>617</v>
      </c>
      <c r="F40" s="96" t="s">
        <v>621</v>
      </c>
    </row>
    <row r="41" ht="15.75" customHeight="1">
      <c r="A41" s="95" t="s">
        <v>622</v>
      </c>
      <c r="B41" s="95" t="s">
        <v>595</v>
      </c>
      <c r="C41" s="99" t="s">
        <v>264</v>
      </c>
      <c r="D41" s="96">
        <v>2.0</v>
      </c>
      <c r="E41" s="95" t="s">
        <v>623</v>
      </c>
      <c r="F41" s="96" t="s">
        <v>624</v>
      </c>
    </row>
    <row r="42" ht="15.75" customHeight="1">
      <c r="A42" s="95" t="s">
        <v>625</v>
      </c>
      <c r="B42" s="95" t="s">
        <v>599</v>
      </c>
      <c r="C42" s="95" t="s">
        <v>626</v>
      </c>
      <c r="D42" s="96">
        <v>0.0</v>
      </c>
      <c r="E42" s="95" t="s">
        <v>623</v>
      </c>
      <c r="F42" s="96" t="s">
        <v>627</v>
      </c>
    </row>
    <row r="43" ht="15.75" customHeight="1">
      <c r="A43" s="95" t="s">
        <v>628</v>
      </c>
      <c r="B43" s="95" t="s">
        <v>263</v>
      </c>
      <c r="C43" s="99" t="s">
        <v>264</v>
      </c>
      <c r="D43" s="96">
        <v>0.0</v>
      </c>
      <c r="E43" s="95" t="s">
        <v>629</v>
      </c>
      <c r="F43" s="96" t="s">
        <v>630</v>
      </c>
    </row>
    <row r="44" ht="15.75" customHeight="1">
      <c r="A44" s="95" t="s">
        <v>631</v>
      </c>
      <c r="B44" s="95" t="s">
        <v>263</v>
      </c>
      <c r="C44" s="99" t="s">
        <v>264</v>
      </c>
      <c r="D44" s="96">
        <v>0.0</v>
      </c>
      <c r="E44" s="95" t="s">
        <v>629</v>
      </c>
      <c r="F44" s="96" t="s">
        <v>632</v>
      </c>
    </row>
    <row r="45" ht="15.75" customHeight="1">
      <c r="A45" s="95" t="s">
        <v>633</v>
      </c>
      <c r="B45" s="95" t="s">
        <v>634</v>
      </c>
      <c r="C45" s="95" t="s">
        <v>635</v>
      </c>
      <c r="D45" s="96">
        <v>0.0</v>
      </c>
      <c r="E45" s="95" t="s">
        <v>636</v>
      </c>
      <c r="F45" s="96" t="s">
        <v>637</v>
      </c>
    </row>
    <row r="46" ht="15.75" customHeight="1">
      <c r="A46" s="95" t="s">
        <v>638</v>
      </c>
      <c r="B46" s="95" t="s">
        <v>634</v>
      </c>
      <c r="C46" s="95" t="s">
        <v>639</v>
      </c>
      <c r="D46" s="96">
        <v>0.0</v>
      </c>
      <c r="E46" s="95" t="s">
        <v>640</v>
      </c>
      <c r="F46" s="96" t="s">
        <v>641</v>
      </c>
    </row>
    <row r="47" ht="15.75" customHeight="1">
      <c r="A47" s="95" t="s">
        <v>642</v>
      </c>
      <c r="B47" s="95" t="s">
        <v>321</v>
      </c>
      <c r="C47" s="99" t="s">
        <v>264</v>
      </c>
      <c r="D47" s="96">
        <v>2.0</v>
      </c>
      <c r="E47" s="95" t="s">
        <v>643</v>
      </c>
      <c r="F47" s="96" t="s">
        <v>644</v>
      </c>
    </row>
    <row r="48" ht="15.75" customHeight="1">
      <c r="A48" s="95" t="s">
        <v>645</v>
      </c>
      <c r="B48" s="95" t="s">
        <v>599</v>
      </c>
      <c r="C48" s="95" t="s">
        <v>606</v>
      </c>
      <c r="D48" s="96">
        <v>0.0</v>
      </c>
      <c r="E48" s="95" t="s">
        <v>643</v>
      </c>
      <c r="F48" s="100" t="s">
        <v>646</v>
      </c>
    </row>
    <row r="49" ht="15.75" customHeight="1">
      <c r="A49" s="95" t="s">
        <v>647</v>
      </c>
      <c r="B49" s="95" t="s">
        <v>263</v>
      </c>
      <c r="C49" s="99" t="s">
        <v>264</v>
      </c>
      <c r="D49" s="96">
        <v>0.0</v>
      </c>
      <c r="E49" s="95" t="s">
        <v>648</v>
      </c>
      <c r="F49" s="96" t="s">
        <v>649</v>
      </c>
    </row>
    <row r="50" ht="15.75" customHeight="1">
      <c r="A50" s="95" t="s">
        <v>650</v>
      </c>
      <c r="B50" s="95" t="s">
        <v>595</v>
      </c>
      <c r="C50" s="95" t="s">
        <v>606</v>
      </c>
      <c r="D50" s="96">
        <v>0.0</v>
      </c>
      <c r="E50" s="95" t="s">
        <v>648</v>
      </c>
      <c r="F50" s="96" t="s">
        <v>651</v>
      </c>
    </row>
    <row r="51" ht="15.75" customHeight="1">
      <c r="A51" s="95" t="s">
        <v>652</v>
      </c>
      <c r="B51" s="95" t="s">
        <v>263</v>
      </c>
      <c r="C51" s="99" t="s">
        <v>264</v>
      </c>
      <c r="D51" s="96">
        <v>0.0</v>
      </c>
      <c r="E51" s="95" t="s">
        <v>653</v>
      </c>
      <c r="F51" s="96" t="s">
        <v>654</v>
      </c>
    </row>
    <row r="52" ht="15.75" customHeight="1">
      <c r="A52" s="95" t="s">
        <v>655</v>
      </c>
      <c r="B52" s="95" t="s">
        <v>634</v>
      </c>
      <c r="C52" s="99" t="s">
        <v>264</v>
      </c>
      <c r="D52" s="96">
        <v>2.0</v>
      </c>
      <c r="E52" s="95" t="s">
        <v>653</v>
      </c>
      <c r="F52" s="96" t="s">
        <v>656</v>
      </c>
    </row>
    <row r="53" ht="15.75" customHeight="1">
      <c r="A53" s="95" t="s">
        <v>657</v>
      </c>
      <c r="B53" s="95" t="s">
        <v>634</v>
      </c>
      <c r="C53" s="95" t="s">
        <v>639</v>
      </c>
      <c r="D53" s="96">
        <v>2.0</v>
      </c>
      <c r="E53" s="95" t="s">
        <v>658</v>
      </c>
      <c r="F53" s="96" t="s">
        <v>659</v>
      </c>
    </row>
    <row r="54" ht="15.75" customHeight="1">
      <c r="A54" s="95" t="s">
        <v>660</v>
      </c>
      <c r="B54" s="95" t="s">
        <v>595</v>
      </c>
      <c r="C54" s="99" t="s">
        <v>264</v>
      </c>
      <c r="D54" s="96">
        <v>2.0</v>
      </c>
      <c r="E54" s="95" t="s">
        <v>658</v>
      </c>
      <c r="F54" s="96" t="s">
        <v>661</v>
      </c>
    </row>
    <row r="55" ht="15.75" customHeight="1">
      <c r="A55" s="95" t="s">
        <v>662</v>
      </c>
    </row>
    <row r="56" ht="15.75" customHeight="1">
      <c r="A56" s="95" t="s">
        <v>663</v>
      </c>
      <c r="B56" s="95" t="s">
        <v>263</v>
      </c>
      <c r="C56" s="99" t="s">
        <v>264</v>
      </c>
      <c r="D56" s="96">
        <v>0.0</v>
      </c>
      <c r="E56" s="95" t="s">
        <v>664</v>
      </c>
      <c r="F56" s="100" t="s">
        <v>665</v>
      </c>
    </row>
    <row r="57" ht="15.75" customHeight="1">
      <c r="A57" s="95" t="s">
        <v>666</v>
      </c>
      <c r="B57" s="95" t="s">
        <v>252</v>
      </c>
      <c r="C57" s="95" t="s">
        <v>667</v>
      </c>
      <c r="D57" s="96">
        <v>2.0</v>
      </c>
      <c r="E57" s="95" t="s">
        <v>664</v>
      </c>
      <c r="F57" s="96" t="s">
        <v>668</v>
      </c>
    </row>
    <row r="58" ht="15.75" customHeight="1">
      <c r="A58" s="95" t="s">
        <v>669</v>
      </c>
      <c r="B58" s="95" t="s">
        <v>599</v>
      </c>
      <c r="C58" s="95" t="s">
        <v>670</v>
      </c>
      <c r="D58" s="96">
        <v>2.0</v>
      </c>
      <c r="E58" s="95" t="s">
        <v>671</v>
      </c>
      <c r="F58" s="96" t="s">
        <v>672</v>
      </c>
    </row>
    <row r="59" ht="15.75" customHeight="1">
      <c r="A59" s="95" t="s">
        <v>673</v>
      </c>
      <c r="B59" s="95" t="s">
        <v>252</v>
      </c>
      <c r="C59" s="95" t="s">
        <v>674</v>
      </c>
      <c r="D59" s="96">
        <v>2.0</v>
      </c>
      <c r="E59" s="95" t="s">
        <v>675</v>
      </c>
      <c r="F59" s="96" t="s">
        <v>676</v>
      </c>
    </row>
    <row r="60" ht="15.75" customHeight="1">
      <c r="A60" s="95" t="s">
        <v>677</v>
      </c>
      <c r="B60" s="95" t="s">
        <v>263</v>
      </c>
      <c r="C60" s="99" t="s">
        <v>264</v>
      </c>
      <c r="D60" s="96">
        <v>0.0</v>
      </c>
      <c r="E60" s="95" t="s">
        <v>678</v>
      </c>
      <c r="F60" s="96" t="s">
        <v>679</v>
      </c>
    </row>
    <row r="61" ht="15.75" customHeight="1">
      <c r="A61" s="95" t="s">
        <v>680</v>
      </c>
      <c r="B61" s="95" t="s">
        <v>252</v>
      </c>
      <c r="C61" s="99" t="s">
        <v>264</v>
      </c>
      <c r="D61" s="96">
        <v>2.0</v>
      </c>
      <c r="E61" s="95" t="s">
        <v>678</v>
      </c>
      <c r="F61" s="96" t="s">
        <v>681</v>
      </c>
    </row>
    <row r="62" ht="15.75" customHeight="1"/>
    <row r="63" ht="15.75" customHeight="1">
      <c r="A63" s="95"/>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307E61E-A9B5-4868-9A8D-A6A9AD29BA4D}" filter="1" showAutoFilter="1">
      <autoFilter ref="$A$1:$D$4"/>
    </customSheetView>
  </customSheetView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2" width="7.63"/>
    <col customWidth="1" min="3" max="3" width="12.75"/>
    <col customWidth="1" min="4" max="5" width="7.63"/>
    <col customWidth="1" min="6" max="6" width="98.88"/>
    <col customWidth="1" min="7" max="26" width="7.63"/>
  </cols>
  <sheetData>
    <row r="1" ht="14.25" customHeight="1">
      <c r="A1" s="95" t="s">
        <v>682</v>
      </c>
      <c r="C1" s="96"/>
      <c r="F1" s="96"/>
    </row>
    <row r="2" ht="14.25" customHeight="1">
      <c r="A2" s="95" t="s">
        <v>683</v>
      </c>
      <c r="C2" s="96"/>
      <c r="F2" s="96"/>
    </row>
    <row r="3" ht="14.25" customHeight="1">
      <c r="A3" s="95" t="s">
        <v>33</v>
      </c>
      <c r="B3" s="95" t="s">
        <v>38</v>
      </c>
      <c r="C3" s="95" t="s">
        <v>42</v>
      </c>
      <c r="D3" s="95" t="s">
        <v>48</v>
      </c>
      <c r="F3" s="96"/>
    </row>
    <row r="4" ht="12.75" customHeight="1">
      <c r="A4" s="113">
        <v>4.0</v>
      </c>
      <c r="B4" s="113">
        <v>4.0</v>
      </c>
      <c r="C4" s="113">
        <v>4.0</v>
      </c>
      <c r="D4" s="113">
        <v>4.0</v>
      </c>
      <c r="F4" s="96"/>
    </row>
    <row r="5" ht="12.75" customHeight="1">
      <c r="C5" s="96"/>
      <c r="F5" s="96"/>
    </row>
    <row r="6" ht="33.0" customHeight="1">
      <c r="A6" s="105" t="s">
        <v>465</v>
      </c>
      <c r="C6" s="96"/>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0.0</v>
      </c>
      <c r="C8" s="114">
        <v>1.0</v>
      </c>
      <c r="D8" s="114">
        <v>2.0</v>
      </c>
      <c r="E8" s="114">
        <v>3.0</v>
      </c>
      <c r="F8" s="114">
        <v>7.0</v>
      </c>
      <c r="G8" s="114">
        <v>9.0</v>
      </c>
      <c r="H8" s="114">
        <v>11.0</v>
      </c>
      <c r="I8" s="114">
        <v>13.0</v>
      </c>
      <c r="J8" s="114">
        <v>15.0</v>
      </c>
      <c r="K8" s="114">
        <v>17.0</v>
      </c>
    </row>
    <row r="9" ht="12.75" customHeight="1">
      <c r="A9" s="106" t="s">
        <v>17</v>
      </c>
      <c r="B9" s="114">
        <v>0.0</v>
      </c>
      <c r="C9" s="114">
        <v>1.0</v>
      </c>
      <c r="D9" s="114">
        <v>2.0</v>
      </c>
      <c r="E9" s="114">
        <v>3.0</v>
      </c>
      <c r="F9" s="114">
        <v>7.0</v>
      </c>
      <c r="G9" s="114">
        <v>9.0</v>
      </c>
      <c r="H9" s="114">
        <v>11.0</v>
      </c>
      <c r="I9" s="114">
        <v>13.0</v>
      </c>
      <c r="J9" s="114">
        <v>15.0</v>
      </c>
      <c r="K9" s="96">
        <v>17.0</v>
      </c>
    </row>
    <row r="10" ht="12.75" customHeight="1">
      <c r="A10" s="106" t="s">
        <v>22</v>
      </c>
      <c r="B10" s="114">
        <v>-4.0</v>
      </c>
      <c r="C10" s="114">
        <v>-3.0</v>
      </c>
      <c r="D10" s="114">
        <v>-2.0</v>
      </c>
      <c r="E10" s="114">
        <v>-1.0</v>
      </c>
      <c r="F10" s="114">
        <v>0.0</v>
      </c>
      <c r="G10" s="114">
        <v>1.0</v>
      </c>
      <c r="H10" s="114">
        <v>1.0</v>
      </c>
      <c r="I10" s="114">
        <v>1.0</v>
      </c>
      <c r="J10" s="114">
        <v>1.0</v>
      </c>
      <c r="K10" s="96">
        <v>1.0</v>
      </c>
    </row>
    <row r="11" ht="12.75" customHeight="1">
      <c r="A11" s="106" t="s">
        <v>27</v>
      </c>
      <c r="B11" s="114">
        <v>1.0</v>
      </c>
      <c r="C11" s="114">
        <v>2.0</v>
      </c>
      <c r="D11" s="114">
        <v>3.0</v>
      </c>
      <c r="E11" s="114">
        <v>4.0</v>
      </c>
      <c r="F11" s="114">
        <v>8.0</v>
      </c>
      <c r="G11" s="114">
        <v>10.0</v>
      </c>
      <c r="H11" s="114">
        <v>12.0</v>
      </c>
      <c r="I11" s="114">
        <v>14.0</v>
      </c>
      <c r="J11" s="114">
        <v>16.0</v>
      </c>
      <c r="K11" s="96">
        <v>18.0</v>
      </c>
    </row>
    <row r="12" ht="12.75" customHeight="1">
      <c r="A12" s="106" t="s">
        <v>31</v>
      </c>
      <c r="B12" s="114">
        <v>0.0</v>
      </c>
      <c r="C12" s="114">
        <v>8.0</v>
      </c>
      <c r="D12" s="114">
        <v>14.0</v>
      </c>
      <c r="E12" s="114">
        <v>20.0</v>
      </c>
      <c r="F12" s="114">
        <v>32.0</v>
      </c>
      <c r="G12" s="114">
        <v>38.0</v>
      </c>
      <c r="H12" s="114">
        <v>44.0</v>
      </c>
      <c r="I12" s="114">
        <v>50.0</v>
      </c>
      <c r="J12" s="114">
        <v>56.0</v>
      </c>
      <c r="K12" s="96">
        <v>62.0</v>
      </c>
    </row>
    <row r="13" ht="12.75" customHeight="1">
      <c r="A13" s="106" t="s">
        <v>35</v>
      </c>
      <c r="B13" s="114">
        <v>0.0</v>
      </c>
      <c r="C13" s="114">
        <v>0.0</v>
      </c>
      <c r="D13" s="114">
        <v>0.0</v>
      </c>
      <c r="E13" s="114">
        <v>0.0</v>
      </c>
      <c r="F13" s="114">
        <v>0.0</v>
      </c>
      <c r="G13" s="114">
        <v>0.0</v>
      </c>
      <c r="H13" s="114">
        <v>0.0</v>
      </c>
      <c r="I13" s="114">
        <v>0.0</v>
      </c>
      <c r="J13" s="114">
        <v>0.0</v>
      </c>
      <c r="K13" s="96">
        <v>0.0</v>
      </c>
    </row>
    <row r="14" ht="12.75" customHeight="1">
      <c r="A14" s="106" t="s">
        <v>40</v>
      </c>
      <c r="B14" s="114">
        <v>0.0</v>
      </c>
      <c r="C14" s="114">
        <v>1.0</v>
      </c>
      <c r="D14" s="114">
        <v>1.0</v>
      </c>
      <c r="E14" s="114">
        <v>1.0</v>
      </c>
      <c r="F14" s="114">
        <v>2.0</v>
      </c>
      <c r="G14" s="114">
        <v>2.0</v>
      </c>
      <c r="H14" s="114">
        <v>2.0</v>
      </c>
      <c r="I14" s="114">
        <v>2.0</v>
      </c>
      <c r="J14" s="114">
        <v>2.0</v>
      </c>
      <c r="K14" s="96">
        <v>3.0</v>
      </c>
    </row>
    <row r="15" ht="12.75" customHeight="1">
      <c r="C15" s="96"/>
      <c r="F15" s="96"/>
    </row>
    <row r="16" ht="14.25" customHeight="1">
      <c r="A16" s="95" t="s">
        <v>684</v>
      </c>
      <c r="C16" s="96"/>
      <c r="F16" s="96"/>
    </row>
    <row r="17" ht="14.25" customHeight="1">
      <c r="A17" s="95" t="s">
        <v>468</v>
      </c>
      <c r="C17" s="96"/>
      <c r="F17" s="96"/>
    </row>
    <row r="18" ht="14.25" customHeight="1">
      <c r="A18" s="115" t="s">
        <v>685</v>
      </c>
      <c r="C18" s="96"/>
      <c r="F18" s="96"/>
    </row>
    <row r="19" ht="12.75" customHeight="1">
      <c r="C19" s="96"/>
      <c r="F19" s="96"/>
    </row>
    <row r="20" ht="14.25" customHeight="1">
      <c r="A20" s="95" t="s">
        <v>470</v>
      </c>
      <c r="C20" s="96"/>
      <c r="F20" s="96"/>
    </row>
    <row r="21" ht="14.25" customHeight="1">
      <c r="A21" s="115" t="s">
        <v>577</v>
      </c>
      <c r="C21" s="96"/>
      <c r="F21" s="96"/>
    </row>
    <row r="22" ht="12.75" customHeight="1">
      <c r="C22" s="96"/>
      <c r="F22" s="96"/>
    </row>
    <row r="23" ht="14.25" customHeight="1">
      <c r="A23" s="95" t="s">
        <v>58</v>
      </c>
      <c r="B23" s="95" t="s">
        <v>37</v>
      </c>
      <c r="C23" s="95" t="s">
        <v>59</v>
      </c>
      <c r="D23" s="95" t="s">
        <v>60</v>
      </c>
      <c r="E23" s="95" t="s">
        <v>472</v>
      </c>
      <c r="F23" s="95" t="s">
        <v>54</v>
      </c>
    </row>
    <row r="24" ht="14.25" customHeight="1">
      <c r="A24" s="108" t="s">
        <v>682</v>
      </c>
      <c r="B24" s="95"/>
      <c r="C24" s="95"/>
      <c r="D24" s="95"/>
      <c r="E24" s="95"/>
      <c r="F24" s="95"/>
    </row>
    <row r="25" ht="14.25" customHeight="1">
      <c r="A25" s="95" t="s">
        <v>686</v>
      </c>
      <c r="C25" s="96"/>
      <c r="F25" s="96"/>
    </row>
    <row r="26" ht="17.25" customHeight="1">
      <c r="A26" s="94" t="s">
        <v>687</v>
      </c>
      <c r="B26" s="95" t="s">
        <v>263</v>
      </c>
      <c r="C26" s="99" t="s">
        <v>264</v>
      </c>
      <c r="D26" s="96">
        <v>0.0</v>
      </c>
      <c r="E26" s="99" t="s">
        <v>264</v>
      </c>
      <c r="F26" s="116" t="s">
        <v>688</v>
      </c>
    </row>
    <row r="27" ht="17.25" customHeight="1">
      <c r="A27" s="94" t="s">
        <v>689</v>
      </c>
      <c r="B27" s="95" t="s">
        <v>263</v>
      </c>
      <c r="C27" s="99" t="s">
        <v>264</v>
      </c>
      <c r="D27" s="96">
        <v>0.0</v>
      </c>
      <c r="E27" s="99" t="s">
        <v>264</v>
      </c>
      <c r="F27" s="116" t="s">
        <v>690</v>
      </c>
    </row>
    <row r="28" ht="17.25" customHeight="1">
      <c r="A28" s="94" t="s">
        <v>691</v>
      </c>
      <c r="B28" s="95" t="s">
        <v>263</v>
      </c>
      <c r="C28" s="99" t="s">
        <v>264</v>
      </c>
      <c r="D28" s="96">
        <v>0.0</v>
      </c>
      <c r="E28" s="99" t="s">
        <v>264</v>
      </c>
      <c r="F28" s="116" t="s">
        <v>692</v>
      </c>
    </row>
    <row r="29" ht="14.25" customHeight="1">
      <c r="A29" s="95" t="s">
        <v>693</v>
      </c>
      <c r="B29" s="95" t="s">
        <v>584</v>
      </c>
      <c r="C29" s="99" t="s">
        <v>264</v>
      </c>
      <c r="D29" s="96">
        <v>0.0</v>
      </c>
      <c r="E29" s="95" t="s">
        <v>694</v>
      </c>
      <c r="F29" s="95" t="s">
        <v>695</v>
      </c>
    </row>
    <row r="30" ht="14.25" customHeight="1">
      <c r="A30" s="95" t="s">
        <v>696</v>
      </c>
      <c r="B30" s="95" t="s">
        <v>584</v>
      </c>
      <c r="C30" s="99" t="s">
        <v>264</v>
      </c>
      <c r="D30" s="96">
        <v>0.0</v>
      </c>
      <c r="E30" s="95" t="s">
        <v>697</v>
      </c>
      <c r="F30" s="95" t="s">
        <v>698</v>
      </c>
    </row>
    <row r="31" ht="14.25" customHeight="1">
      <c r="A31" s="95" t="s">
        <v>699</v>
      </c>
      <c r="B31" s="95" t="s">
        <v>599</v>
      </c>
      <c r="C31" s="99" t="s">
        <v>264</v>
      </c>
      <c r="D31" s="96">
        <v>0.0</v>
      </c>
      <c r="E31" s="95" t="s">
        <v>700</v>
      </c>
      <c r="F31" s="95" t="s">
        <v>701</v>
      </c>
    </row>
    <row r="32" ht="14.25" customHeight="1">
      <c r="A32" s="95" t="s">
        <v>702</v>
      </c>
      <c r="B32" s="95" t="s">
        <v>703</v>
      </c>
      <c r="C32" s="95" t="s">
        <v>704</v>
      </c>
      <c r="D32" s="96">
        <v>0.0</v>
      </c>
      <c r="E32" s="95" t="s">
        <v>705</v>
      </c>
      <c r="F32" s="95" t="s">
        <v>706</v>
      </c>
    </row>
    <row r="33" ht="14.25" customHeight="1">
      <c r="A33" s="95" t="s">
        <v>707</v>
      </c>
      <c r="B33" s="95" t="s">
        <v>703</v>
      </c>
      <c r="C33" s="95" t="s">
        <v>708</v>
      </c>
      <c r="D33" s="96">
        <v>0.0</v>
      </c>
      <c r="E33" s="95" t="s">
        <v>709</v>
      </c>
      <c r="F33" s="95" t="s">
        <v>710</v>
      </c>
    </row>
    <row r="34" ht="14.25" customHeight="1">
      <c r="A34" s="95" t="s">
        <v>711</v>
      </c>
      <c r="B34" s="95" t="s">
        <v>263</v>
      </c>
      <c r="C34" s="99" t="s">
        <v>264</v>
      </c>
      <c r="D34" s="96">
        <v>0.0</v>
      </c>
      <c r="E34" s="95" t="s">
        <v>712</v>
      </c>
      <c r="F34" s="95" t="s">
        <v>713</v>
      </c>
    </row>
    <row r="35" ht="14.25" customHeight="1">
      <c r="A35" s="95" t="s">
        <v>714</v>
      </c>
      <c r="B35" s="95" t="s">
        <v>263</v>
      </c>
      <c r="C35" s="99" t="s">
        <v>264</v>
      </c>
      <c r="D35" s="96">
        <v>0.0</v>
      </c>
      <c r="E35" s="95" t="s">
        <v>715</v>
      </c>
      <c r="F35" s="95" t="s">
        <v>716</v>
      </c>
    </row>
    <row r="36" ht="14.25" customHeight="1">
      <c r="A36" s="95" t="s">
        <v>717</v>
      </c>
      <c r="B36" s="95" t="s">
        <v>263</v>
      </c>
      <c r="C36" s="99" t="s">
        <v>264</v>
      </c>
      <c r="D36" s="96">
        <v>0.0</v>
      </c>
      <c r="E36" s="95" t="s">
        <v>718</v>
      </c>
      <c r="F36" s="95" t="s">
        <v>719</v>
      </c>
    </row>
    <row r="37" ht="14.25" customHeight="1">
      <c r="A37" s="95" t="s">
        <v>720</v>
      </c>
      <c r="B37" s="95" t="s">
        <v>321</v>
      </c>
      <c r="C37" s="95" t="s">
        <v>524</v>
      </c>
      <c r="D37" s="96">
        <v>0.0</v>
      </c>
      <c r="E37" s="95" t="s">
        <v>721</v>
      </c>
      <c r="F37" s="95" t="s">
        <v>722</v>
      </c>
    </row>
    <row r="38" ht="14.25" customHeight="1">
      <c r="A38" s="95" t="s">
        <v>723</v>
      </c>
      <c r="B38" s="95" t="s">
        <v>724</v>
      </c>
      <c r="C38" s="99" t="s">
        <v>264</v>
      </c>
      <c r="D38" s="96">
        <v>2.0</v>
      </c>
      <c r="E38" s="95" t="s">
        <v>721</v>
      </c>
      <c r="F38" s="95" t="s">
        <v>725</v>
      </c>
    </row>
    <row r="39" ht="42.75" customHeight="1">
      <c r="A39" s="95" t="s">
        <v>726</v>
      </c>
      <c r="B39" s="95" t="s">
        <v>584</v>
      </c>
      <c r="C39" s="99" t="s">
        <v>264</v>
      </c>
      <c r="D39" s="96">
        <v>2.0</v>
      </c>
      <c r="E39" s="95" t="s">
        <v>721</v>
      </c>
      <c r="F39" s="100" t="s">
        <v>727</v>
      </c>
    </row>
    <row r="40" ht="14.25" customHeight="1">
      <c r="A40" s="95" t="s">
        <v>728</v>
      </c>
      <c r="B40" s="95" t="s">
        <v>729</v>
      </c>
      <c r="C40" s="99" t="s">
        <v>264</v>
      </c>
      <c r="D40" s="96">
        <v>2.0</v>
      </c>
      <c r="E40" s="95" t="s">
        <v>721</v>
      </c>
      <c r="F40" s="95" t="s">
        <v>730</v>
      </c>
    </row>
    <row r="41" ht="14.25" customHeight="1">
      <c r="A41" s="95" t="s">
        <v>731</v>
      </c>
      <c r="B41" s="95" t="s">
        <v>729</v>
      </c>
      <c r="C41" s="99" t="s">
        <v>264</v>
      </c>
      <c r="D41" s="96">
        <v>2.0</v>
      </c>
      <c r="E41" s="95" t="s">
        <v>721</v>
      </c>
      <c r="F41" s="95" t="s">
        <v>732</v>
      </c>
    </row>
    <row r="42" ht="14.25" customHeight="1">
      <c r="A42" s="95" t="s">
        <v>733</v>
      </c>
      <c r="B42" s="95" t="s">
        <v>252</v>
      </c>
      <c r="C42" s="95" t="s">
        <v>494</v>
      </c>
      <c r="D42" s="96">
        <v>0.0</v>
      </c>
      <c r="E42" s="95" t="s">
        <v>721</v>
      </c>
      <c r="F42" s="95" t="s">
        <v>734</v>
      </c>
    </row>
    <row r="43" ht="14.25" customHeight="1">
      <c r="A43" s="95" t="s">
        <v>735</v>
      </c>
      <c r="B43" s="95" t="s">
        <v>252</v>
      </c>
      <c r="C43" s="95" t="s">
        <v>494</v>
      </c>
      <c r="D43" s="96">
        <v>0.0</v>
      </c>
      <c r="E43" s="95" t="s">
        <v>721</v>
      </c>
      <c r="F43" s="95" t="s">
        <v>736</v>
      </c>
    </row>
    <row r="44" ht="14.25" customHeight="1">
      <c r="A44" s="95" t="s">
        <v>737</v>
      </c>
      <c r="B44" s="95" t="s">
        <v>252</v>
      </c>
      <c r="C44" s="95" t="s">
        <v>516</v>
      </c>
      <c r="D44" s="96">
        <v>0.0</v>
      </c>
      <c r="E44" s="95" t="s">
        <v>721</v>
      </c>
      <c r="F44" s="95" t="s">
        <v>738</v>
      </c>
    </row>
    <row r="45" ht="14.25" customHeight="1">
      <c r="A45" s="95" t="s">
        <v>739</v>
      </c>
      <c r="C45" s="96"/>
      <c r="F45" s="96"/>
    </row>
    <row r="46" ht="14.25" customHeight="1">
      <c r="A46" s="95" t="s">
        <v>740</v>
      </c>
      <c r="B46" s="95" t="s">
        <v>263</v>
      </c>
      <c r="C46" s="99" t="s">
        <v>264</v>
      </c>
      <c r="D46" s="96">
        <v>0.0</v>
      </c>
      <c r="E46" s="95" t="s">
        <v>741</v>
      </c>
      <c r="F46" s="95" t="s">
        <v>742</v>
      </c>
    </row>
    <row r="47" ht="14.25" customHeight="1">
      <c r="A47" s="95" t="s">
        <v>743</v>
      </c>
      <c r="B47" s="95" t="s">
        <v>263</v>
      </c>
      <c r="C47" s="99" t="s">
        <v>264</v>
      </c>
      <c r="D47" s="96">
        <v>0.0</v>
      </c>
      <c r="E47" s="95" t="s">
        <v>744</v>
      </c>
      <c r="F47" s="95" t="s">
        <v>745</v>
      </c>
    </row>
    <row r="48" ht="14.25" customHeight="1">
      <c r="A48" s="95" t="s">
        <v>746</v>
      </c>
      <c r="B48" s="95" t="s">
        <v>321</v>
      </c>
      <c r="C48" s="95" t="s">
        <v>516</v>
      </c>
      <c r="D48" s="96">
        <v>0.0</v>
      </c>
      <c r="E48" s="95" t="s">
        <v>747</v>
      </c>
      <c r="F48" s="95" t="s">
        <v>748</v>
      </c>
    </row>
    <row r="49" ht="14.25" customHeight="1">
      <c r="A49" s="95" t="s">
        <v>749</v>
      </c>
      <c r="B49" s="95" t="s">
        <v>252</v>
      </c>
      <c r="C49" s="95" t="s">
        <v>494</v>
      </c>
      <c r="D49" s="96">
        <v>0.0</v>
      </c>
      <c r="E49" s="95" t="s">
        <v>750</v>
      </c>
      <c r="F49" s="95" t="s">
        <v>751</v>
      </c>
    </row>
    <row r="50" ht="14.25" customHeight="1">
      <c r="A50" s="95" t="s">
        <v>752</v>
      </c>
      <c r="B50" s="95" t="s">
        <v>263</v>
      </c>
      <c r="C50" s="99" t="s">
        <v>264</v>
      </c>
      <c r="D50" s="96">
        <v>0.0</v>
      </c>
      <c r="E50" s="95" t="s">
        <v>753</v>
      </c>
      <c r="F50" s="95" t="s">
        <v>754</v>
      </c>
    </row>
    <row r="51" ht="14.25" customHeight="1">
      <c r="A51" s="95" t="s">
        <v>755</v>
      </c>
      <c r="B51" s="95" t="s">
        <v>321</v>
      </c>
      <c r="C51" s="95" t="s">
        <v>756</v>
      </c>
      <c r="D51" s="96">
        <v>0.0</v>
      </c>
      <c r="E51" s="95" t="s">
        <v>757</v>
      </c>
      <c r="F51" s="95" t="s">
        <v>758</v>
      </c>
    </row>
    <row r="52" ht="14.25" customHeight="1">
      <c r="A52" s="95" t="s">
        <v>759</v>
      </c>
      <c r="B52" s="95" t="s">
        <v>252</v>
      </c>
      <c r="C52" s="99" t="s">
        <v>264</v>
      </c>
      <c r="D52" s="96">
        <v>0.0</v>
      </c>
      <c r="E52" s="95" t="s">
        <v>757</v>
      </c>
      <c r="F52" s="95" t="s">
        <v>760</v>
      </c>
    </row>
    <row r="53" ht="14.25" customHeight="1">
      <c r="A53" s="95" t="s">
        <v>761</v>
      </c>
      <c r="B53" s="95" t="s">
        <v>252</v>
      </c>
      <c r="C53" s="95" t="s">
        <v>516</v>
      </c>
      <c r="D53" s="96">
        <v>0.0</v>
      </c>
      <c r="E53" s="95" t="s">
        <v>757</v>
      </c>
      <c r="F53" s="95" t="s">
        <v>762</v>
      </c>
    </row>
    <row r="54" ht="14.25" customHeight="1">
      <c r="A54" s="95" t="s">
        <v>763</v>
      </c>
      <c r="B54" s="95" t="s">
        <v>252</v>
      </c>
      <c r="C54" s="95" t="s">
        <v>516</v>
      </c>
      <c r="D54" s="96">
        <v>0.0</v>
      </c>
      <c r="E54" s="95" t="s">
        <v>764</v>
      </c>
      <c r="F54" s="95" t="s">
        <v>765</v>
      </c>
    </row>
    <row r="55" ht="14.25" customHeight="1">
      <c r="A55" s="95" t="s">
        <v>766</v>
      </c>
      <c r="B55" s="95" t="s">
        <v>321</v>
      </c>
      <c r="C55" s="95" t="s">
        <v>494</v>
      </c>
      <c r="D55" s="96">
        <v>0.0</v>
      </c>
      <c r="E55" s="95" t="s">
        <v>764</v>
      </c>
      <c r="F55" s="95" t="s">
        <v>767</v>
      </c>
    </row>
    <row r="56" ht="12.75" customHeight="1">
      <c r="A56" s="97" t="s">
        <v>768</v>
      </c>
      <c r="B56" s="95" t="s">
        <v>263</v>
      </c>
      <c r="C56" s="99" t="s">
        <v>264</v>
      </c>
      <c r="D56" s="96">
        <v>0.0</v>
      </c>
      <c r="E56" s="117" t="s">
        <v>769</v>
      </c>
      <c r="F56" s="104" t="s">
        <v>770</v>
      </c>
    </row>
    <row r="57" ht="12.75" customHeight="1">
      <c r="A57" s="97" t="s">
        <v>771</v>
      </c>
      <c r="B57" s="95" t="s">
        <v>263</v>
      </c>
      <c r="C57" s="99" t="s">
        <v>264</v>
      </c>
      <c r="D57" s="96">
        <v>0.0</v>
      </c>
      <c r="E57" s="117" t="s">
        <v>769</v>
      </c>
      <c r="F57" s="104" t="s">
        <v>772</v>
      </c>
    </row>
    <row r="58" ht="12.75" customHeight="1">
      <c r="A58" s="97" t="s">
        <v>773</v>
      </c>
      <c r="B58" s="95" t="s">
        <v>263</v>
      </c>
      <c r="C58" s="99" t="s">
        <v>264</v>
      </c>
      <c r="D58" s="96">
        <v>0.0</v>
      </c>
      <c r="E58" s="117" t="s">
        <v>769</v>
      </c>
      <c r="F58" s="104" t="s">
        <v>774</v>
      </c>
    </row>
    <row r="59" ht="12.75" customHeight="1">
      <c r="A59" s="97" t="s">
        <v>775</v>
      </c>
      <c r="B59" s="95" t="s">
        <v>263</v>
      </c>
      <c r="C59" s="99" t="s">
        <v>264</v>
      </c>
      <c r="D59" s="96">
        <v>0.0</v>
      </c>
      <c r="E59" s="117" t="s">
        <v>769</v>
      </c>
      <c r="F59" s="104" t="s">
        <v>776</v>
      </c>
    </row>
    <row r="60" ht="12.75" customHeight="1">
      <c r="A60" s="97" t="s">
        <v>777</v>
      </c>
      <c r="B60" s="94" t="s">
        <v>9</v>
      </c>
      <c r="C60" s="99" t="s">
        <v>264</v>
      </c>
      <c r="D60" s="96">
        <v>0.0</v>
      </c>
      <c r="E60" s="117" t="s">
        <v>769</v>
      </c>
      <c r="F60" s="104" t="s">
        <v>778</v>
      </c>
    </row>
    <row r="61" ht="12.75" customHeight="1">
      <c r="A61" s="97" t="s">
        <v>779</v>
      </c>
      <c r="B61" s="94" t="s">
        <v>9</v>
      </c>
      <c r="C61" s="99" t="s">
        <v>264</v>
      </c>
      <c r="D61" s="96">
        <v>0.0</v>
      </c>
      <c r="E61" s="117" t="s">
        <v>769</v>
      </c>
      <c r="F61" s="104" t="s">
        <v>780</v>
      </c>
    </row>
    <row r="62" ht="12.75" customHeight="1">
      <c r="A62" s="97" t="s">
        <v>781</v>
      </c>
      <c r="B62" s="94" t="s">
        <v>9</v>
      </c>
      <c r="C62" s="99" t="s">
        <v>264</v>
      </c>
      <c r="D62" s="96">
        <v>0.0</v>
      </c>
      <c r="E62" s="117" t="s">
        <v>769</v>
      </c>
      <c r="F62" s="104" t="s">
        <v>782</v>
      </c>
    </row>
    <row r="63" ht="12.75" customHeight="1">
      <c r="A63" s="97" t="s">
        <v>783</v>
      </c>
      <c r="B63" s="94" t="s">
        <v>9</v>
      </c>
      <c r="C63" s="99" t="s">
        <v>264</v>
      </c>
      <c r="D63" s="96">
        <v>0.0</v>
      </c>
      <c r="E63" s="117" t="s">
        <v>769</v>
      </c>
      <c r="F63" s="104" t="s">
        <v>784</v>
      </c>
    </row>
    <row r="64" ht="12.75" customHeight="1">
      <c r="A64" s="97" t="s">
        <v>785</v>
      </c>
      <c r="B64" s="94" t="s">
        <v>9</v>
      </c>
      <c r="C64" s="99" t="s">
        <v>264</v>
      </c>
      <c r="D64" s="96">
        <v>0.0</v>
      </c>
      <c r="E64" s="117" t="s">
        <v>769</v>
      </c>
      <c r="F64" s="104" t="s">
        <v>786</v>
      </c>
    </row>
    <row r="65" ht="12.75" customHeight="1">
      <c r="A65" s="97" t="s">
        <v>787</v>
      </c>
      <c r="B65" s="94" t="s">
        <v>9</v>
      </c>
      <c r="C65" s="99" t="s">
        <v>264</v>
      </c>
      <c r="D65" s="96">
        <v>0.0</v>
      </c>
      <c r="E65" s="117" t="s">
        <v>769</v>
      </c>
      <c r="F65" s="104" t="s">
        <v>788</v>
      </c>
    </row>
    <row r="66" ht="12.75" customHeight="1">
      <c r="A66" s="97" t="s">
        <v>789</v>
      </c>
      <c r="B66" s="97" t="s">
        <v>790</v>
      </c>
      <c r="C66" s="99" t="s">
        <v>264</v>
      </c>
      <c r="D66" s="96">
        <v>0.0</v>
      </c>
      <c r="E66" s="117" t="s">
        <v>769</v>
      </c>
      <c r="F66" s="104" t="s">
        <v>791</v>
      </c>
    </row>
    <row r="67" ht="12.75" customHeight="1">
      <c r="A67" s="97" t="s">
        <v>792</v>
      </c>
      <c r="B67" s="97" t="s">
        <v>9</v>
      </c>
      <c r="C67" s="99" t="s">
        <v>264</v>
      </c>
      <c r="D67" s="96">
        <v>0.0</v>
      </c>
      <c r="E67" s="117" t="s">
        <v>769</v>
      </c>
      <c r="F67" s="104" t="s">
        <v>793</v>
      </c>
    </row>
    <row r="68" ht="12.75" customHeight="1">
      <c r="A68" s="97" t="s">
        <v>794</v>
      </c>
      <c r="B68" s="97" t="s">
        <v>9</v>
      </c>
      <c r="C68" s="99" t="s">
        <v>264</v>
      </c>
      <c r="D68" s="96">
        <v>0.0</v>
      </c>
      <c r="E68" s="117" t="s">
        <v>769</v>
      </c>
      <c r="F68" s="104" t="s">
        <v>795</v>
      </c>
    </row>
    <row r="69" ht="12.75" customHeight="1">
      <c r="C69" s="96"/>
      <c r="F69" s="96"/>
    </row>
    <row r="70" ht="12.75" customHeight="1">
      <c r="C70" s="96"/>
      <c r="F70" s="96"/>
    </row>
    <row r="71" ht="12.75" customHeight="1">
      <c r="C71" s="96"/>
      <c r="F71" s="96"/>
    </row>
    <row r="72" ht="12.75" customHeight="1">
      <c r="C72" s="96"/>
      <c r="F72" s="96"/>
    </row>
    <row r="73" ht="12.75" customHeight="1">
      <c r="C73" s="96"/>
      <c r="F73" s="96"/>
    </row>
    <row r="74" ht="12.75" customHeight="1">
      <c r="C74" s="96"/>
      <c r="F74" s="96"/>
    </row>
    <row r="75" ht="12.75" customHeight="1">
      <c r="C75" s="96"/>
      <c r="F75" s="96"/>
    </row>
    <row r="76" ht="12.75" customHeight="1">
      <c r="C76" s="96"/>
      <c r="F76" s="96"/>
    </row>
    <row r="77" ht="12.75" customHeight="1">
      <c r="C77" s="96"/>
      <c r="F77" s="96"/>
    </row>
    <row r="78" ht="12.75" customHeight="1">
      <c r="C78" s="96"/>
      <c r="F78" s="96"/>
    </row>
    <row r="79" ht="12.75" customHeight="1">
      <c r="C79" s="96"/>
      <c r="F79" s="96"/>
    </row>
    <row r="80" ht="12.75" customHeight="1">
      <c r="C80" s="96"/>
      <c r="F80" s="96"/>
    </row>
    <row r="81" ht="12.75" customHeight="1">
      <c r="C81" s="96"/>
      <c r="F81" s="96"/>
    </row>
    <row r="82" ht="12.75" customHeight="1">
      <c r="C82" s="96"/>
      <c r="F82" s="96"/>
    </row>
    <row r="83" ht="12.75" customHeight="1">
      <c r="C83" s="96"/>
      <c r="F83" s="96"/>
    </row>
    <row r="84" ht="12.75" customHeight="1">
      <c r="C84" s="96"/>
      <c r="F84" s="96"/>
    </row>
    <row r="85" ht="12.75" customHeight="1">
      <c r="C85" s="96"/>
      <c r="F85" s="96"/>
    </row>
    <row r="86" ht="12.75" customHeight="1">
      <c r="C86" s="96"/>
      <c r="F86" s="96"/>
    </row>
    <row r="87" ht="12.75" customHeight="1">
      <c r="C87" s="96"/>
      <c r="F87" s="96"/>
    </row>
    <row r="88" ht="12.75" customHeight="1">
      <c r="C88" s="96"/>
      <c r="F88" s="96"/>
    </row>
    <row r="89" ht="12.75" customHeight="1">
      <c r="C89" s="96"/>
      <c r="F89" s="96"/>
    </row>
    <row r="90" ht="12.75" customHeight="1">
      <c r="C90" s="96"/>
      <c r="F90" s="96"/>
    </row>
    <row r="91" ht="12.75" customHeight="1">
      <c r="C91" s="96"/>
      <c r="F91" s="96"/>
    </row>
    <row r="92" ht="12.75" customHeight="1">
      <c r="C92" s="96"/>
      <c r="F92" s="96"/>
    </row>
    <row r="93" ht="12.75" customHeight="1">
      <c r="C93" s="96"/>
      <c r="F93" s="96"/>
    </row>
    <row r="94" ht="12.75" customHeight="1">
      <c r="C94" s="96"/>
      <c r="F94" s="96"/>
    </row>
    <row r="95" ht="12.75" customHeight="1">
      <c r="C95" s="96"/>
      <c r="F95" s="96"/>
    </row>
    <row r="96" ht="12.75" customHeight="1">
      <c r="C96" s="96"/>
      <c r="F96" s="96"/>
    </row>
    <row r="97" ht="12.75" customHeight="1">
      <c r="C97" s="96"/>
      <c r="F97" s="96"/>
    </row>
    <row r="98" ht="12.75" customHeight="1">
      <c r="C98" s="96"/>
      <c r="F98" s="96"/>
    </row>
    <row r="99" ht="12.75" customHeight="1">
      <c r="C99" s="96"/>
      <c r="F99" s="96"/>
    </row>
    <row r="100" ht="12.75" customHeight="1">
      <c r="C100" s="96"/>
      <c r="F100" s="96"/>
    </row>
    <row r="101" ht="12.75" customHeight="1">
      <c r="C101" s="96"/>
      <c r="F101" s="96"/>
    </row>
    <row r="102" ht="12.75" customHeight="1">
      <c r="C102" s="96"/>
      <c r="F102" s="96"/>
    </row>
    <row r="103" ht="12.75" customHeight="1">
      <c r="C103" s="96"/>
      <c r="F103" s="96"/>
    </row>
    <row r="104" ht="12.75" customHeight="1">
      <c r="C104" s="96"/>
      <c r="F104" s="96"/>
    </row>
    <row r="105" ht="12.75" customHeight="1">
      <c r="C105" s="96"/>
      <c r="F105" s="96"/>
    </row>
    <row r="106" ht="12.75" customHeight="1">
      <c r="C106" s="96"/>
      <c r="F106" s="96"/>
    </row>
    <row r="107" ht="12.75" customHeight="1">
      <c r="C107" s="96"/>
      <c r="F107" s="96"/>
    </row>
    <row r="108" ht="12.75" customHeight="1">
      <c r="C108" s="96"/>
      <c r="F108" s="96"/>
    </row>
    <row r="109" ht="12.75" customHeight="1">
      <c r="C109" s="96"/>
      <c r="F109" s="96"/>
    </row>
    <row r="110" ht="12.75" customHeight="1">
      <c r="C110" s="96"/>
      <c r="F110" s="96"/>
    </row>
    <row r="111" ht="12.75" customHeight="1">
      <c r="C111" s="96"/>
      <c r="F111" s="96"/>
    </row>
    <row r="112" ht="12.75" customHeight="1">
      <c r="C112" s="96"/>
      <c r="F112" s="96"/>
    </row>
    <row r="113" ht="12.75" customHeight="1">
      <c r="C113" s="96"/>
      <c r="F113" s="96"/>
    </row>
    <row r="114" ht="12.75" customHeight="1">
      <c r="C114" s="96"/>
      <c r="F114" s="96"/>
    </row>
    <row r="115" ht="12.75" customHeight="1">
      <c r="C115" s="96"/>
      <c r="F115" s="96"/>
    </row>
    <row r="116" ht="12.75" customHeight="1">
      <c r="C116" s="96"/>
      <c r="F116" s="96"/>
    </row>
    <row r="117" ht="12.75" customHeight="1">
      <c r="C117" s="96"/>
      <c r="F117" s="96"/>
    </row>
    <row r="118" ht="12.75" customHeight="1">
      <c r="C118" s="96"/>
      <c r="F118" s="96"/>
    </row>
    <row r="119" ht="12.75" customHeight="1">
      <c r="C119" s="96"/>
      <c r="F119" s="96"/>
    </row>
    <row r="120" ht="12.75" customHeight="1">
      <c r="C120" s="96"/>
      <c r="F120" s="96"/>
    </row>
    <row r="121" ht="12.75" customHeight="1">
      <c r="C121" s="96"/>
      <c r="F121" s="96"/>
    </row>
    <row r="122" ht="12.75" customHeight="1">
      <c r="C122" s="96"/>
      <c r="F122" s="96"/>
    </row>
    <row r="123" ht="12.75" customHeight="1">
      <c r="C123" s="96"/>
      <c r="F123" s="96"/>
    </row>
    <row r="124" ht="12.75" customHeight="1">
      <c r="C124" s="96"/>
      <c r="F124" s="96"/>
    </row>
    <row r="125" ht="12.75" customHeight="1">
      <c r="C125" s="96"/>
      <c r="F125" s="96"/>
    </row>
    <row r="126" ht="12.75" customHeight="1">
      <c r="C126" s="96"/>
      <c r="F126" s="96"/>
    </row>
    <row r="127" ht="12.75" customHeight="1">
      <c r="C127" s="96"/>
      <c r="F127" s="96"/>
    </row>
    <row r="128" ht="12.75" customHeight="1">
      <c r="C128" s="96"/>
      <c r="F128" s="96"/>
    </row>
    <row r="129" ht="12.75" customHeight="1">
      <c r="C129" s="96"/>
      <c r="F129" s="96"/>
    </row>
    <row r="130" ht="12.75" customHeight="1">
      <c r="C130" s="96"/>
      <c r="F130" s="96"/>
    </row>
    <row r="131" ht="12.75" customHeight="1">
      <c r="C131" s="96"/>
      <c r="F131" s="96"/>
    </row>
    <row r="132" ht="12.75" customHeight="1">
      <c r="C132" s="96"/>
      <c r="F132" s="96"/>
    </row>
    <row r="133" ht="12.75" customHeight="1">
      <c r="C133" s="96"/>
      <c r="F133" s="96"/>
    </row>
    <row r="134" ht="12.75" customHeight="1">
      <c r="C134" s="96"/>
      <c r="F134" s="96"/>
    </row>
    <row r="135" ht="12.75" customHeight="1">
      <c r="C135" s="96"/>
      <c r="F135" s="96"/>
    </row>
    <row r="136" ht="12.75" customHeight="1">
      <c r="C136" s="96"/>
      <c r="F136" s="96"/>
    </row>
    <row r="137" ht="12.75" customHeight="1">
      <c r="C137" s="96"/>
      <c r="F137" s="96"/>
    </row>
    <row r="138" ht="12.75" customHeight="1">
      <c r="C138" s="96"/>
      <c r="F138" s="96"/>
    </row>
    <row r="139" ht="12.75" customHeight="1">
      <c r="C139" s="96"/>
      <c r="F139" s="96"/>
    </row>
    <row r="140" ht="12.75" customHeight="1">
      <c r="C140" s="96"/>
      <c r="F140" s="96"/>
    </row>
    <row r="141" ht="12.75" customHeight="1">
      <c r="C141" s="96"/>
      <c r="F141" s="96"/>
    </row>
    <row r="142" ht="12.75" customHeight="1">
      <c r="C142" s="96"/>
      <c r="F142" s="96"/>
    </row>
    <row r="143" ht="12.75" customHeight="1">
      <c r="C143" s="96"/>
      <c r="F143" s="96"/>
    </row>
    <row r="144" ht="12.75" customHeight="1">
      <c r="C144" s="96"/>
      <c r="F144" s="96"/>
    </row>
    <row r="145" ht="12.75" customHeight="1">
      <c r="C145" s="96"/>
      <c r="F145" s="96"/>
    </row>
    <row r="146" ht="12.75" customHeight="1">
      <c r="C146" s="96"/>
      <c r="F146" s="96"/>
    </row>
    <row r="147" ht="12.75" customHeight="1">
      <c r="C147" s="96"/>
      <c r="F147" s="96"/>
    </row>
    <row r="148" ht="12.75" customHeight="1">
      <c r="C148" s="96"/>
      <c r="F148" s="96"/>
    </row>
    <row r="149" ht="12.75" customHeight="1">
      <c r="C149" s="96"/>
      <c r="F149" s="96"/>
    </row>
    <row r="150" ht="12.75" customHeight="1">
      <c r="C150" s="96"/>
      <c r="F150" s="96"/>
    </row>
    <row r="151" ht="12.75" customHeight="1">
      <c r="C151" s="96"/>
      <c r="F151" s="96"/>
    </row>
    <row r="152" ht="12.75" customHeight="1">
      <c r="C152" s="96"/>
      <c r="F152" s="96"/>
    </row>
    <row r="153" ht="12.75" customHeight="1">
      <c r="C153" s="96"/>
      <c r="F153" s="96"/>
    </row>
    <row r="154" ht="12.75" customHeight="1">
      <c r="C154" s="96"/>
      <c r="F154" s="96"/>
    </row>
    <row r="155" ht="12.75" customHeight="1">
      <c r="C155" s="96"/>
      <c r="F155" s="96"/>
    </row>
    <row r="156" ht="12.75" customHeight="1">
      <c r="C156" s="96"/>
      <c r="F156" s="96"/>
    </row>
    <row r="157" ht="12.75" customHeight="1">
      <c r="C157" s="96"/>
      <c r="F157" s="96"/>
    </row>
    <row r="158" ht="12.75" customHeight="1">
      <c r="C158" s="96"/>
      <c r="F158" s="96"/>
    </row>
    <row r="159" ht="12.75" customHeight="1">
      <c r="C159" s="96"/>
      <c r="F159" s="96"/>
    </row>
    <row r="160" ht="12.75" customHeight="1">
      <c r="C160" s="96"/>
      <c r="F160" s="96"/>
    </row>
    <row r="161" ht="12.75" customHeight="1">
      <c r="C161" s="96"/>
      <c r="F161" s="96"/>
    </row>
    <row r="162" ht="12.75" customHeight="1">
      <c r="C162" s="96"/>
      <c r="F162" s="96"/>
    </row>
    <row r="163" ht="12.75" customHeight="1">
      <c r="C163" s="96"/>
      <c r="F163" s="96"/>
    </row>
    <row r="164" ht="12.75" customHeight="1">
      <c r="C164" s="96"/>
      <c r="F164" s="96"/>
    </row>
    <row r="165" ht="12.75" customHeight="1">
      <c r="C165" s="96"/>
      <c r="F165" s="96"/>
    </row>
    <row r="166" ht="12.75" customHeight="1">
      <c r="C166" s="96"/>
      <c r="F166" s="96"/>
    </row>
    <row r="167" ht="12.75" customHeight="1">
      <c r="C167" s="96"/>
      <c r="F167" s="96"/>
    </row>
    <row r="168" ht="12.75" customHeight="1">
      <c r="C168" s="96"/>
      <c r="F168" s="96"/>
    </row>
    <row r="169" ht="12.75" customHeight="1">
      <c r="C169" s="96"/>
      <c r="F169" s="96"/>
    </row>
    <row r="170" ht="12.75" customHeight="1">
      <c r="C170" s="96"/>
      <c r="F170" s="96"/>
    </row>
    <row r="171" ht="12.75" customHeight="1">
      <c r="C171" s="96"/>
      <c r="F171" s="96"/>
    </row>
    <row r="172" ht="12.75" customHeight="1">
      <c r="C172" s="96"/>
      <c r="F172" s="96"/>
    </row>
    <row r="173" ht="12.75" customHeight="1">
      <c r="C173" s="96"/>
      <c r="F173" s="96"/>
    </row>
    <row r="174" ht="12.75" customHeight="1">
      <c r="C174" s="96"/>
      <c r="F174" s="96"/>
    </row>
    <row r="175" ht="12.75" customHeight="1">
      <c r="C175" s="96"/>
      <c r="F175" s="96"/>
    </row>
    <row r="176" ht="12.75" customHeight="1">
      <c r="C176" s="96"/>
      <c r="F176" s="96"/>
    </row>
    <row r="177" ht="12.75" customHeight="1">
      <c r="C177" s="96"/>
      <c r="F177" s="96"/>
    </row>
    <row r="178" ht="12.75" customHeight="1">
      <c r="C178" s="96"/>
      <c r="F178" s="96"/>
    </row>
    <row r="179" ht="12.75" customHeight="1">
      <c r="C179" s="96"/>
      <c r="F179" s="96"/>
    </row>
    <row r="180" ht="12.75" customHeight="1">
      <c r="C180" s="96"/>
      <c r="F180" s="96"/>
    </row>
    <row r="181" ht="12.75" customHeight="1">
      <c r="C181" s="96"/>
      <c r="F181" s="96"/>
    </row>
    <row r="182" ht="12.75" customHeight="1">
      <c r="C182" s="96"/>
      <c r="F182" s="96"/>
    </row>
    <row r="183" ht="12.75" customHeight="1">
      <c r="C183" s="96"/>
      <c r="F183" s="96"/>
    </row>
    <row r="184" ht="12.75" customHeight="1">
      <c r="C184" s="96"/>
      <c r="F184" s="96"/>
    </row>
    <row r="185" ht="12.75" customHeight="1">
      <c r="C185" s="96"/>
      <c r="F185" s="96"/>
    </row>
    <row r="186" ht="12.75" customHeight="1">
      <c r="C186" s="96"/>
      <c r="F186" s="96"/>
    </row>
    <row r="187" ht="12.75" customHeight="1">
      <c r="C187" s="96"/>
      <c r="F187" s="96"/>
    </row>
    <row r="188" ht="12.75" customHeight="1">
      <c r="C188" s="96"/>
      <c r="F188" s="96"/>
    </row>
    <row r="189" ht="12.75" customHeight="1">
      <c r="C189" s="96"/>
      <c r="F189" s="96"/>
    </row>
    <row r="190" ht="12.75" customHeight="1">
      <c r="C190" s="96"/>
      <c r="F190" s="96"/>
    </row>
    <row r="191" ht="12.75" customHeight="1">
      <c r="C191" s="96"/>
      <c r="F191" s="96"/>
    </row>
    <row r="192" ht="12.75" customHeight="1">
      <c r="C192" s="96"/>
      <c r="F192" s="96"/>
    </row>
    <row r="193" ht="12.75" customHeight="1">
      <c r="C193" s="96"/>
      <c r="F193" s="96"/>
    </row>
    <row r="194" ht="12.75" customHeight="1">
      <c r="C194" s="96"/>
      <c r="F194" s="96"/>
    </row>
    <row r="195" ht="12.75" customHeight="1">
      <c r="C195" s="96"/>
      <c r="F195" s="96"/>
    </row>
    <row r="196" ht="12.75" customHeight="1">
      <c r="C196" s="96"/>
      <c r="F196" s="96"/>
    </row>
    <row r="197" ht="12.75" customHeight="1">
      <c r="C197" s="96"/>
      <c r="F197" s="96"/>
    </row>
    <row r="198" ht="12.75" customHeight="1">
      <c r="C198" s="96"/>
      <c r="F198" s="96"/>
    </row>
    <row r="199" ht="12.75" customHeight="1">
      <c r="C199" s="96"/>
      <c r="F199" s="96"/>
    </row>
    <row r="200" ht="12.75" customHeight="1">
      <c r="C200" s="96"/>
      <c r="F200" s="96"/>
    </row>
    <row r="201" ht="12.75" customHeight="1">
      <c r="C201" s="96"/>
      <c r="F201" s="96"/>
    </row>
    <row r="202" ht="12.75" customHeight="1">
      <c r="C202" s="96"/>
      <c r="F202" s="96"/>
    </row>
    <row r="203" ht="12.75" customHeight="1">
      <c r="C203" s="96"/>
      <c r="F203" s="96"/>
    </row>
    <row r="204" ht="12.75" customHeight="1">
      <c r="C204" s="96"/>
      <c r="F204" s="96"/>
    </row>
    <row r="205" ht="12.75" customHeight="1">
      <c r="C205" s="96"/>
      <c r="F205" s="96"/>
    </row>
    <row r="206" ht="12.75" customHeight="1">
      <c r="C206" s="96"/>
      <c r="F206" s="96"/>
    </row>
    <row r="207" ht="12.75" customHeight="1">
      <c r="C207" s="96"/>
      <c r="F207" s="96"/>
    </row>
    <row r="208" ht="12.75" customHeight="1">
      <c r="C208" s="96"/>
      <c r="F208" s="96"/>
    </row>
    <row r="209" ht="12.75" customHeight="1">
      <c r="C209" s="96"/>
      <c r="F209" s="96"/>
    </row>
    <row r="210" ht="12.75" customHeight="1">
      <c r="C210" s="96"/>
      <c r="F210" s="96"/>
    </row>
    <row r="211" ht="12.75" customHeight="1">
      <c r="C211" s="96"/>
      <c r="F211" s="96"/>
    </row>
    <row r="212" ht="12.75" customHeight="1">
      <c r="C212" s="96"/>
      <c r="F212" s="96"/>
    </row>
    <row r="213" ht="12.75" customHeight="1">
      <c r="C213" s="96"/>
      <c r="F213" s="96"/>
    </row>
    <row r="214" ht="12.75" customHeight="1">
      <c r="C214" s="96"/>
      <c r="F214" s="96"/>
    </row>
    <row r="215" ht="12.75" customHeight="1">
      <c r="C215" s="96"/>
      <c r="F215" s="96"/>
    </row>
    <row r="216" ht="12.75" customHeight="1">
      <c r="C216" s="96"/>
      <c r="F216" s="96"/>
    </row>
    <row r="217" ht="12.75" customHeight="1">
      <c r="C217" s="96"/>
      <c r="F217" s="96"/>
    </row>
    <row r="218" ht="12.75" customHeight="1">
      <c r="C218" s="96"/>
      <c r="F218" s="96"/>
    </row>
    <row r="219" ht="12.75" customHeight="1">
      <c r="C219" s="96"/>
      <c r="F219" s="96"/>
    </row>
    <row r="220" ht="12.75" customHeight="1">
      <c r="C220" s="96"/>
      <c r="F220" s="96"/>
    </row>
    <row r="221" ht="12.75" customHeight="1">
      <c r="C221" s="96"/>
      <c r="F221" s="96"/>
    </row>
    <row r="222" ht="12.75" customHeight="1">
      <c r="C222" s="96"/>
      <c r="F222" s="96"/>
    </row>
    <row r="223" ht="12.75" customHeight="1">
      <c r="C223" s="96"/>
      <c r="F223" s="96"/>
    </row>
    <row r="224" ht="12.75" customHeight="1">
      <c r="C224" s="96"/>
      <c r="F224" s="96"/>
    </row>
    <row r="225" ht="12.75" customHeight="1">
      <c r="C225" s="96"/>
      <c r="F225" s="96"/>
    </row>
    <row r="226" ht="12.75" customHeight="1">
      <c r="C226" s="96"/>
      <c r="F226" s="96"/>
    </row>
    <row r="227" ht="12.75" customHeight="1">
      <c r="C227" s="96"/>
      <c r="F227" s="96"/>
    </row>
    <row r="228" ht="12.75" customHeight="1">
      <c r="C228" s="96"/>
      <c r="F228" s="96"/>
    </row>
    <row r="229" ht="12.75" customHeight="1">
      <c r="C229" s="96"/>
      <c r="F229" s="96"/>
    </row>
    <row r="230" ht="12.75" customHeight="1">
      <c r="C230" s="96"/>
      <c r="F230" s="96"/>
    </row>
    <row r="231" ht="12.75" customHeight="1">
      <c r="C231" s="96"/>
      <c r="F231" s="96"/>
    </row>
    <row r="232" ht="12.75" customHeight="1">
      <c r="C232" s="96"/>
      <c r="F232" s="96"/>
    </row>
    <row r="233" ht="12.75" customHeight="1">
      <c r="C233" s="96"/>
      <c r="F233" s="96"/>
    </row>
    <row r="234" ht="12.75" customHeight="1">
      <c r="C234" s="96"/>
      <c r="F234" s="96"/>
    </row>
    <row r="235" ht="12.75" customHeight="1">
      <c r="C235" s="96"/>
      <c r="F235" s="96"/>
    </row>
    <row r="236" ht="12.75" customHeight="1">
      <c r="C236" s="96"/>
      <c r="F236" s="96"/>
    </row>
    <row r="237" ht="12.75" customHeight="1">
      <c r="C237" s="96"/>
      <c r="F237" s="96"/>
    </row>
    <row r="238" ht="12.75" customHeight="1">
      <c r="C238" s="96"/>
      <c r="F238" s="96"/>
    </row>
    <row r="239" ht="12.75" customHeight="1">
      <c r="C239" s="96"/>
      <c r="F239" s="96"/>
    </row>
    <row r="240" ht="12.75" customHeight="1">
      <c r="C240" s="96"/>
      <c r="F240" s="96"/>
    </row>
    <row r="241" ht="12.75" customHeight="1">
      <c r="C241" s="96"/>
      <c r="F241" s="96"/>
    </row>
    <row r="242" ht="12.75" customHeight="1">
      <c r="C242" s="96"/>
      <c r="F242" s="96"/>
    </row>
    <row r="243" ht="12.75" customHeight="1">
      <c r="C243" s="96"/>
      <c r="F243" s="96"/>
    </row>
    <row r="244" ht="12.75" customHeight="1">
      <c r="C244" s="96"/>
      <c r="F244" s="96"/>
    </row>
    <row r="245" ht="12.75" customHeight="1">
      <c r="C245" s="96"/>
      <c r="F245" s="96"/>
    </row>
    <row r="246" ht="12.75" customHeight="1">
      <c r="C246" s="96"/>
      <c r="F246" s="96"/>
    </row>
    <row r="247" ht="12.75" customHeight="1">
      <c r="C247" s="96"/>
      <c r="F247" s="96"/>
    </row>
    <row r="248" ht="12.75" customHeight="1">
      <c r="C248" s="96"/>
      <c r="F248" s="96"/>
    </row>
    <row r="249" ht="12.75" customHeight="1">
      <c r="C249" s="96"/>
      <c r="F249" s="96"/>
    </row>
    <row r="250" ht="12.75" customHeight="1">
      <c r="C250" s="96"/>
      <c r="F250" s="96"/>
    </row>
    <row r="251" ht="12.75" customHeight="1">
      <c r="C251" s="96"/>
      <c r="F251" s="96"/>
    </row>
    <row r="252" ht="12.75" customHeight="1">
      <c r="C252" s="96"/>
      <c r="F252" s="96"/>
    </row>
    <row r="253" ht="12.75" customHeight="1">
      <c r="C253" s="96"/>
      <c r="F253" s="96"/>
    </row>
    <row r="254" ht="12.75" customHeight="1">
      <c r="C254" s="96"/>
      <c r="F254" s="96"/>
    </row>
    <row r="255" ht="12.75" customHeight="1">
      <c r="C255" s="96"/>
      <c r="F255" s="96"/>
    </row>
    <row r="256" ht="12.75" customHeight="1">
      <c r="C256" s="96"/>
      <c r="F256" s="96"/>
    </row>
    <row r="257" ht="12.75" customHeight="1">
      <c r="C257" s="96"/>
      <c r="F257" s="96"/>
    </row>
    <row r="258" ht="12.75" customHeight="1">
      <c r="C258" s="96"/>
      <c r="F258" s="96"/>
    </row>
    <row r="259" ht="12.75" customHeight="1">
      <c r="C259" s="96"/>
      <c r="F259" s="96"/>
    </row>
    <row r="260" ht="12.75" customHeight="1">
      <c r="C260" s="96"/>
      <c r="F260" s="96"/>
    </row>
    <row r="261" ht="12.75" customHeight="1">
      <c r="C261" s="96"/>
      <c r="F261" s="96"/>
    </row>
    <row r="262" ht="12.75" customHeight="1">
      <c r="C262" s="96"/>
      <c r="F262" s="96"/>
    </row>
    <row r="263" ht="12.75" customHeight="1">
      <c r="C263" s="96"/>
      <c r="F263" s="96"/>
    </row>
    <row r="264" ht="12.75" customHeight="1">
      <c r="C264" s="96"/>
      <c r="F264" s="96"/>
    </row>
    <row r="265" ht="12.75" customHeight="1">
      <c r="C265" s="96"/>
      <c r="F265" s="96"/>
    </row>
    <row r="266" ht="12.75" customHeight="1">
      <c r="C266" s="96"/>
      <c r="F266" s="96"/>
    </row>
    <row r="267" ht="12.75" customHeight="1">
      <c r="C267" s="96"/>
      <c r="F267" s="96"/>
    </row>
    <row r="268" ht="12.75" customHeight="1">
      <c r="C268" s="96"/>
      <c r="F268" s="96"/>
    </row>
    <row r="269" ht="12.75" customHeight="1">
      <c r="C269" s="96"/>
      <c r="F269" s="96"/>
    </row>
    <row r="270" ht="12.75" customHeight="1">
      <c r="C270" s="96"/>
      <c r="F270" s="96"/>
    </row>
    <row r="271" ht="12.75" customHeight="1">
      <c r="C271" s="96"/>
      <c r="F271" s="96"/>
    </row>
    <row r="272" ht="12.75" customHeight="1">
      <c r="C272" s="96"/>
      <c r="F272" s="96"/>
    </row>
    <row r="273" ht="12.75" customHeight="1">
      <c r="C273" s="96"/>
      <c r="F273" s="96"/>
    </row>
    <row r="274" ht="12.75" customHeight="1">
      <c r="C274" s="96"/>
      <c r="F274" s="96"/>
    </row>
    <row r="275" ht="12.75" customHeight="1">
      <c r="C275" s="96"/>
      <c r="F275" s="96"/>
    </row>
    <row r="276" ht="12.75" customHeight="1">
      <c r="C276" s="96"/>
      <c r="F276" s="96"/>
    </row>
    <row r="277" ht="12.75" customHeight="1">
      <c r="C277" s="96"/>
      <c r="F277" s="96"/>
    </row>
    <row r="278" ht="12.75" customHeight="1">
      <c r="C278" s="96"/>
      <c r="F278" s="96"/>
    </row>
    <row r="279" ht="12.75" customHeight="1">
      <c r="C279" s="96"/>
      <c r="F279" s="96"/>
    </row>
    <row r="280" ht="12.75" customHeight="1">
      <c r="C280" s="96"/>
      <c r="F280" s="96"/>
    </row>
    <row r="281" ht="12.75" customHeight="1">
      <c r="C281" s="96"/>
      <c r="F281" s="96"/>
    </row>
    <row r="282" ht="12.75" customHeight="1">
      <c r="C282" s="96"/>
      <c r="F282" s="96"/>
    </row>
    <row r="283" ht="12.75" customHeight="1">
      <c r="C283" s="96"/>
      <c r="F283" s="96"/>
    </row>
    <row r="284" ht="12.75" customHeight="1">
      <c r="C284" s="96"/>
      <c r="F284" s="96"/>
    </row>
    <row r="285" ht="12.75" customHeight="1">
      <c r="C285" s="96"/>
      <c r="F285" s="96"/>
    </row>
    <row r="286" ht="12.75" customHeight="1">
      <c r="C286" s="96"/>
      <c r="F286" s="96"/>
    </row>
    <row r="287" ht="12.75" customHeight="1">
      <c r="C287" s="96"/>
      <c r="F287" s="96"/>
    </row>
    <row r="288" ht="12.75" customHeight="1">
      <c r="C288" s="96"/>
      <c r="F288" s="96"/>
    </row>
    <row r="289" ht="12.75" customHeight="1">
      <c r="C289" s="96"/>
      <c r="F289" s="96"/>
    </row>
    <row r="290" ht="12.75" customHeight="1">
      <c r="C290" s="96"/>
      <c r="F290" s="96"/>
    </row>
    <row r="291" ht="12.75" customHeight="1">
      <c r="C291" s="96"/>
      <c r="F291" s="96"/>
    </row>
    <row r="292" ht="12.75" customHeight="1">
      <c r="C292" s="96"/>
      <c r="F292" s="96"/>
    </row>
    <row r="293" ht="12.75" customHeight="1">
      <c r="C293" s="96"/>
      <c r="F293" s="96"/>
    </row>
    <row r="294" ht="12.75" customHeight="1">
      <c r="C294" s="96"/>
      <c r="F294" s="96"/>
    </row>
    <row r="295" ht="12.75" customHeight="1">
      <c r="C295" s="96"/>
      <c r="F295" s="96"/>
    </row>
    <row r="296" ht="12.75" customHeight="1">
      <c r="C296" s="96"/>
      <c r="F296" s="96"/>
    </row>
    <row r="297" ht="12.75" customHeight="1">
      <c r="C297" s="96"/>
      <c r="F297" s="96"/>
    </row>
    <row r="298" ht="12.75" customHeight="1">
      <c r="C298" s="96"/>
      <c r="F298" s="96"/>
    </row>
    <row r="299" ht="12.75" customHeight="1">
      <c r="C299" s="96"/>
      <c r="F299" s="96"/>
    </row>
    <row r="300" ht="12.75" customHeight="1">
      <c r="C300" s="96"/>
      <c r="F300" s="96"/>
    </row>
    <row r="301" ht="12.75" customHeight="1">
      <c r="C301" s="96"/>
      <c r="F301" s="96"/>
    </row>
    <row r="302" ht="12.75" customHeight="1">
      <c r="C302" s="96"/>
      <c r="F302" s="96"/>
    </row>
    <row r="303" ht="12.75" customHeight="1">
      <c r="C303" s="96"/>
      <c r="F303" s="96"/>
    </row>
    <row r="304" ht="12.75" customHeight="1">
      <c r="C304" s="96"/>
      <c r="F304" s="96"/>
    </row>
    <row r="305" ht="12.75" customHeight="1">
      <c r="C305" s="96"/>
      <c r="F305" s="96"/>
    </row>
    <row r="306" ht="12.75" customHeight="1">
      <c r="C306" s="96"/>
      <c r="F306" s="96"/>
    </row>
    <row r="307" ht="12.75" customHeight="1">
      <c r="C307" s="96"/>
      <c r="F307" s="96"/>
    </row>
    <row r="308" ht="12.75" customHeight="1">
      <c r="C308" s="96"/>
      <c r="F308" s="96"/>
    </row>
    <row r="309" ht="12.75" customHeight="1">
      <c r="C309" s="96"/>
      <c r="F309" s="96"/>
    </row>
    <row r="310" ht="12.75" customHeight="1">
      <c r="C310" s="96"/>
      <c r="F310" s="96"/>
    </row>
    <row r="311" ht="12.75" customHeight="1">
      <c r="C311" s="96"/>
      <c r="F311" s="96"/>
    </row>
    <row r="312" ht="12.75" customHeight="1">
      <c r="C312" s="96"/>
      <c r="F312" s="96"/>
    </row>
    <row r="313" ht="12.75" customHeight="1">
      <c r="C313" s="96"/>
      <c r="F313" s="96"/>
    </row>
    <row r="314" ht="12.75" customHeight="1">
      <c r="C314" s="96"/>
      <c r="F314" s="96"/>
    </row>
    <row r="315" ht="12.75" customHeight="1">
      <c r="C315" s="96"/>
      <c r="F315" s="96"/>
    </row>
    <row r="316" ht="12.75" customHeight="1">
      <c r="C316" s="96"/>
      <c r="F316" s="96"/>
    </row>
    <row r="317" ht="12.75" customHeight="1">
      <c r="C317" s="96"/>
      <c r="F317" s="96"/>
    </row>
    <row r="318" ht="12.75" customHeight="1">
      <c r="C318" s="96"/>
      <c r="F318" s="96"/>
    </row>
    <row r="319" ht="12.75" customHeight="1">
      <c r="C319" s="96"/>
      <c r="F319" s="96"/>
    </row>
    <row r="320" ht="12.75" customHeight="1">
      <c r="C320" s="96"/>
      <c r="F320" s="96"/>
    </row>
    <row r="321" ht="12.75" customHeight="1">
      <c r="C321" s="96"/>
      <c r="F321" s="96"/>
    </row>
    <row r="322" ht="12.75" customHeight="1">
      <c r="C322" s="96"/>
      <c r="F322" s="96"/>
    </row>
    <row r="323" ht="12.75" customHeight="1">
      <c r="C323" s="96"/>
      <c r="F323" s="96"/>
    </row>
    <row r="324" ht="12.75" customHeight="1">
      <c r="C324" s="96"/>
      <c r="F324" s="96"/>
    </row>
    <row r="325" ht="12.75" customHeight="1">
      <c r="C325" s="96"/>
      <c r="F325" s="96"/>
    </row>
    <row r="326" ht="12.75" customHeight="1">
      <c r="C326" s="96"/>
      <c r="F326" s="96"/>
    </row>
    <row r="327" ht="12.75" customHeight="1">
      <c r="C327" s="96"/>
      <c r="F327" s="96"/>
    </row>
    <row r="328" ht="12.75" customHeight="1">
      <c r="C328" s="96"/>
      <c r="F328" s="96"/>
    </row>
    <row r="329" ht="12.75" customHeight="1">
      <c r="C329" s="96"/>
      <c r="F329" s="96"/>
    </row>
    <row r="330" ht="12.75" customHeight="1">
      <c r="C330" s="96"/>
      <c r="F330" s="96"/>
    </row>
    <row r="331" ht="12.75" customHeight="1">
      <c r="C331" s="96"/>
      <c r="F331" s="96"/>
    </row>
    <row r="332" ht="12.75" customHeight="1">
      <c r="C332" s="96"/>
      <c r="F332" s="96"/>
    </row>
    <row r="333" ht="12.75" customHeight="1">
      <c r="C333" s="96"/>
      <c r="F333" s="96"/>
    </row>
    <row r="334" ht="12.75" customHeight="1">
      <c r="C334" s="96"/>
      <c r="F334" s="96"/>
    </row>
    <row r="335" ht="12.75" customHeight="1">
      <c r="C335" s="96"/>
      <c r="F335" s="96"/>
    </row>
    <row r="336" ht="12.75" customHeight="1">
      <c r="C336" s="96"/>
      <c r="F336" s="96"/>
    </row>
    <row r="337" ht="12.75" customHeight="1">
      <c r="C337" s="96"/>
      <c r="F337" s="96"/>
    </row>
    <row r="338" ht="12.75" customHeight="1">
      <c r="C338" s="96"/>
      <c r="F338" s="96"/>
    </row>
    <row r="339" ht="12.75" customHeight="1">
      <c r="C339" s="96"/>
      <c r="F339" s="96"/>
    </row>
    <row r="340" ht="12.75" customHeight="1">
      <c r="C340" s="96"/>
      <c r="F340" s="96"/>
    </row>
    <row r="341" ht="12.75" customHeight="1">
      <c r="C341" s="96"/>
      <c r="F341" s="96"/>
    </row>
    <row r="342" ht="12.75" customHeight="1">
      <c r="C342" s="96"/>
      <c r="F342" s="96"/>
    </row>
    <row r="343" ht="12.75" customHeight="1">
      <c r="C343" s="96"/>
      <c r="F343" s="96"/>
    </row>
    <row r="344" ht="12.75" customHeight="1">
      <c r="C344" s="96"/>
      <c r="F344" s="96"/>
    </row>
    <row r="345" ht="12.75" customHeight="1">
      <c r="C345" s="96"/>
      <c r="F345" s="96"/>
    </row>
    <row r="346" ht="12.75" customHeight="1">
      <c r="C346" s="96"/>
      <c r="F346" s="96"/>
    </row>
    <row r="347" ht="12.75" customHeight="1">
      <c r="C347" s="96"/>
      <c r="F347" s="96"/>
    </row>
    <row r="348" ht="12.75" customHeight="1">
      <c r="C348" s="96"/>
      <c r="F348" s="96"/>
    </row>
    <row r="349" ht="12.75" customHeight="1">
      <c r="C349" s="96"/>
      <c r="F349" s="96"/>
    </row>
    <row r="350" ht="12.75" customHeight="1">
      <c r="C350" s="96"/>
      <c r="F350" s="96"/>
    </row>
    <row r="351" ht="12.75" customHeight="1">
      <c r="C351" s="96"/>
      <c r="F351" s="96"/>
    </row>
    <row r="352" ht="12.75" customHeight="1">
      <c r="C352" s="96"/>
      <c r="F352" s="96"/>
    </row>
    <row r="353" ht="12.75" customHeight="1">
      <c r="C353" s="96"/>
      <c r="F353" s="96"/>
    </row>
    <row r="354" ht="12.75" customHeight="1">
      <c r="C354" s="96"/>
      <c r="F354" s="96"/>
    </row>
    <row r="355" ht="12.75" customHeight="1">
      <c r="C355" s="96"/>
      <c r="F355" s="96"/>
    </row>
    <row r="356" ht="12.75" customHeight="1">
      <c r="C356" s="96"/>
      <c r="F356" s="96"/>
    </row>
    <row r="357" ht="12.75" customHeight="1">
      <c r="C357" s="96"/>
      <c r="F357" s="96"/>
    </row>
    <row r="358" ht="12.75" customHeight="1">
      <c r="C358" s="96"/>
      <c r="F358" s="96"/>
    </row>
    <row r="359" ht="12.75" customHeight="1">
      <c r="C359" s="96"/>
      <c r="F359" s="96"/>
    </row>
    <row r="360" ht="12.75" customHeight="1">
      <c r="C360" s="96"/>
      <c r="F360" s="96"/>
    </row>
    <row r="361" ht="12.75" customHeight="1">
      <c r="C361" s="96"/>
      <c r="F361" s="96"/>
    </row>
    <row r="362" ht="12.75" customHeight="1">
      <c r="C362" s="96"/>
      <c r="F362" s="96"/>
    </row>
    <row r="363" ht="12.75" customHeight="1">
      <c r="C363" s="96"/>
      <c r="F363" s="96"/>
    </row>
    <row r="364" ht="12.75" customHeight="1">
      <c r="C364" s="96"/>
      <c r="F364" s="96"/>
    </row>
    <row r="365" ht="12.75" customHeight="1">
      <c r="C365" s="96"/>
      <c r="F365" s="96"/>
    </row>
    <row r="366" ht="12.75" customHeight="1">
      <c r="C366" s="96"/>
      <c r="F366" s="96"/>
    </row>
    <row r="367" ht="12.75" customHeight="1">
      <c r="C367" s="96"/>
      <c r="F367" s="96"/>
    </row>
    <row r="368" ht="12.75" customHeight="1">
      <c r="C368" s="96"/>
      <c r="F368" s="96"/>
    </row>
    <row r="369" ht="12.75" customHeight="1">
      <c r="C369" s="96"/>
      <c r="F369" s="96"/>
    </row>
    <row r="370" ht="12.75" customHeight="1">
      <c r="C370" s="96"/>
      <c r="F370" s="96"/>
    </row>
    <row r="371" ht="12.75" customHeight="1">
      <c r="C371" s="96"/>
      <c r="F371" s="96"/>
    </row>
    <row r="372" ht="12.75" customHeight="1">
      <c r="C372" s="96"/>
      <c r="F372" s="96"/>
    </row>
    <row r="373" ht="12.75" customHeight="1">
      <c r="C373" s="96"/>
      <c r="F373" s="96"/>
    </row>
    <row r="374" ht="12.75" customHeight="1">
      <c r="C374" s="96"/>
      <c r="F374" s="96"/>
    </row>
    <row r="375" ht="12.75" customHeight="1">
      <c r="C375" s="96"/>
      <c r="F375" s="96"/>
    </row>
    <row r="376" ht="12.75" customHeight="1">
      <c r="C376" s="96"/>
      <c r="F376" s="96"/>
    </row>
    <row r="377" ht="12.75" customHeight="1">
      <c r="C377" s="96"/>
      <c r="F377" s="96"/>
    </row>
    <row r="378" ht="12.75" customHeight="1">
      <c r="C378" s="96"/>
      <c r="F378" s="96"/>
    </row>
    <row r="379" ht="12.75" customHeight="1">
      <c r="C379" s="96"/>
      <c r="F379" s="96"/>
    </row>
    <row r="380" ht="12.75" customHeight="1">
      <c r="C380" s="96"/>
      <c r="F380" s="96"/>
    </row>
    <row r="381" ht="12.75" customHeight="1">
      <c r="C381" s="96"/>
      <c r="F381" s="96"/>
    </row>
    <row r="382" ht="12.75" customHeight="1">
      <c r="C382" s="96"/>
      <c r="F382" s="96"/>
    </row>
    <row r="383" ht="12.75" customHeight="1">
      <c r="C383" s="96"/>
      <c r="F383" s="96"/>
    </row>
    <row r="384" ht="12.75" customHeight="1">
      <c r="C384" s="96"/>
      <c r="F384" s="96"/>
    </row>
    <row r="385" ht="12.75" customHeight="1">
      <c r="C385" s="96"/>
      <c r="F385" s="96"/>
    </row>
    <row r="386" ht="12.75" customHeight="1">
      <c r="C386" s="96"/>
      <c r="F386" s="96"/>
    </row>
    <row r="387" ht="12.75" customHeight="1">
      <c r="C387" s="96"/>
      <c r="F387" s="96"/>
    </row>
    <row r="388" ht="12.75" customHeight="1">
      <c r="C388" s="96"/>
      <c r="F388" s="96"/>
    </row>
    <row r="389" ht="12.75" customHeight="1">
      <c r="C389" s="96"/>
      <c r="F389" s="96"/>
    </row>
    <row r="390" ht="12.75" customHeight="1">
      <c r="C390" s="96"/>
      <c r="F390" s="96"/>
    </row>
    <row r="391" ht="12.75" customHeight="1">
      <c r="C391" s="96"/>
      <c r="F391" s="96"/>
    </row>
    <row r="392" ht="12.75" customHeight="1">
      <c r="C392" s="96"/>
      <c r="F392" s="96"/>
    </row>
    <row r="393" ht="12.75" customHeight="1">
      <c r="C393" s="96"/>
      <c r="F393" s="96"/>
    </row>
    <row r="394" ht="12.75" customHeight="1">
      <c r="C394" s="96"/>
      <c r="F394" s="96"/>
    </row>
    <row r="395" ht="12.75" customHeight="1">
      <c r="C395" s="96"/>
      <c r="F395" s="96"/>
    </row>
    <row r="396" ht="12.75" customHeight="1">
      <c r="C396" s="96"/>
      <c r="F396" s="96"/>
    </row>
    <row r="397" ht="12.75" customHeight="1">
      <c r="C397" s="96"/>
      <c r="F397" s="96"/>
    </row>
    <row r="398" ht="12.75" customHeight="1">
      <c r="C398" s="96"/>
      <c r="F398" s="96"/>
    </row>
    <row r="399" ht="12.75" customHeight="1">
      <c r="C399" s="96"/>
      <c r="F399" s="96"/>
    </row>
    <row r="400" ht="12.75" customHeight="1">
      <c r="C400" s="96"/>
      <c r="F400" s="96"/>
    </row>
    <row r="401" ht="12.75" customHeight="1">
      <c r="C401" s="96"/>
      <c r="F401" s="96"/>
    </row>
    <row r="402" ht="12.75" customHeight="1">
      <c r="C402" s="96"/>
      <c r="F402" s="96"/>
    </row>
    <row r="403" ht="12.75" customHeight="1">
      <c r="C403" s="96"/>
      <c r="F403" s="96"/>
    </row>
    <row r="404" ht="12.75" customHeight="1">
      <c r="C404" s="96"/>
      <c r="F404" s="96"/>
    </row>
    <row r="405" ht="12.75" customHeight="1">
      <c r="C405" s="96"/>
      <c r="F405" s="96"/>
    </row>
    <row r="406" ht="12.75" customHeight="1">
      <c r="C406" s="96"/>
      <c r="F406" s="96"/>
    </row>
    <row r="407" ht="12.75" customHeight="1">
      <c r="C407" s="96"/>
      <c r="F407" s="96"/>
    </row>
    <row r="408" ht="12.75" customHeight="1">
      <c r="C408" s="96"/>
      <c r="F408" s="96"/>
    </row>
    <row r="409" ht="12.75" customHeight="1">
      <c r="C409" s="96"/>
      <c r="F409" s="96"/>
    </row>
    <row r="410" ht="12.75" customHeight="1">
      <c r="C410" s="96"/>
      <c r="F410" s="96"/>
    </row>
    <row r="411" ht="12.75" customHeight="1">
      <c r="C411" s="96"/>
      <c r="F411" s="96"/>
    </row>
    <row r="412" ht="12.75" customHeight="1">
      <c r="C412" s="96"/>
      <c r="F412" s="96"/>
    </row>
    <row r="413" ht="12.75" customHeight="1">
      <c r="C413" s="96"/>
      <c r="F413" s="96"/>
    </row>
    <row r="414" ht="12.75" customHeight="1">
      <c r="C414" s="96"/>
      <c r="F414" s="96"/>
    </row>
    <row r="415" ht="12.75" customHeight="1">
      <c r="C415" s="96"/>
      <c r="F415" s="96"/>
    </row>
    <row r="416" ht="12.75" customHeight="1">
      <c r="C416" s="96"/>
      <c r="F416" s="96"/>
    </row>
    <row r="417" ht="12.75" customHeight="1">
      <c r="C417" s="96"/>
      <c r="F417" s="96"/>
    </row>
    <row r="418" ht="12.75" customHeight="1">
      <c r="C418" s="96"/>
      <c r="F418" s="96"/>
    </row>
    <row r="419" ht="12.75" customHeight="1">
      <c r="C419" s="96"/>
      <c r="F419" s="96"/>
    </row>
    <row r="420" ht="12.75" customHeight="1">
      <c r="C420" s="96"/>
      <c r="F420" s="96"/>
    </row>
    <row r="421" ht="12.75" customHeight="1">
      <c r="C421" s="96"/>
      <c r="F421" s="96"/>
    </row>
    <row r="422" ht="12.75" customHeight="1">
      <c r="C422" s="96"/>
      <c r="F422" s="96"/>
    </row>
    <row r="423" ht="12.75" customHeight="1">
      <c r="C423" s="96"/>
      <c r="F423" s="96"/>
    </row>
    <row r="424" ht="12.75" customHeight="1">
      <c r="C424" s="96"/>
      <c r="F424" s="96"/>
    </row>
    <row r="425" ht="12.75" customHeight="1">
      <c r="C425" s="96"/>
      <c r="F425" s="96"/>
    </row>
    <row r="426" ht="12.75" customHeight="1">
      <c r="C426" s="96"/>
      <c r="F426" s="96"/>
    </row>
    <row r="427" ht="12.75" customHeight="1">
      <c r="C427" s="96"/>
      <c r="F427" s="96"/>
    </row>
    <row r="428" ht="12.75" customHeight="1">
      <c r="C428" s="96"/>
      <c r="F428" s="96"/>
    </row>
    <row r="429" ht="12.75" customHeight="1">
      <c r="C429" s="96"/>
      <c r="F429" s="96"/>
    </row>
    <row r="430" ht="12.75" customHeight="1">
      <c r="C430" s="96"/>
      <c r="F430" s="96"/>
    </row>
    <row r="431" ht="12.75" customHeight="1">
      <c r="C431" s="96"/>
      <c r="F431" s="96"/>
    </row>
    <row r="432" ht="12.75" customHeight="1">
      <c r="C432" s="96"/>
      <c r="F432" s="96"/>
    </row>
    <row r="433" ht="12.75" customHeight="1">
      <c r="C433" s="96"/>
      <c r="F433" s="96"/>
    </row>
    <row r="434" ht="12.75" customHeight="1">
      <c r="C434" s="96"/>
      <c r="F434" s="96"/>
    </row>
    <row r="435" ht="12.75" customHeight="1">
      <c r="C435" s="96"/>
      <c r="F435" s="96"/>
    </row>
    <row r="436" ht="12.75" customHeight="1">
      <c r="C436" s="96"/>
      <c r="F436" s="96"/>
    </row>
    <row r="437" ht="12.75" customHeight="1">
      <c r="C437" s="96"/>
      <c r="F437" s="96"/>
    </row>
    <row r="438" ht="12.75" customHeight="1">
      <c r="C438" s="96"/>
      <c r="F438" s="96"/>
    </row>
    <row r="439" ht="12.75" customHeight="1">
      <c r="C439" s="96"/>
      <c r="F439" s="96"/>
    </row>
    <row r="440" ht="12.75" customHeight="1">
      <c r="C440" s="96"/>
      <c r="F440" s="96"/>
    </row>
    <row r="441" ht="12.75" customHeight="1">
      <c r="C441" s="96"/>
      <c r="F441" s="96"/>
    </row>
    <row r="442" ht="12.75" customHeight="1">
      <c r="C442" s="96"/>
      <c r="F442" s="96"/>
    </row>
    <row r="443" ht="12.75" customHeight="1">
      <c r="C443" s="96"/>
      <c r="F443" s="96"/>
    </row>
    <row r="444" ht="12.75" customHeight="1">
      <c r="C444" s="96"/>
      <c r="F444" s="96"/>
    </row>
    <row r="445" ht="12.75" customHeight="1">
      <c r="C445" s="96"/>
      <c r="F445" s="96"/>
    </row>
    <row r="446" ht="12.75" customHeight="1">
      <c r="C446" s="96"/>
      <c r="F446" s="96"/>
    </row>
    <row r="447" ht="12.75" customHeight="1">
      <c r="C447" s="96"/>
      <c r="F447" s="96"/>
    </row>
    <row r="448" ht="12.75" customHeight="1">
      <c r="C448" s="96"/>
      <c r="F448" s="96"/>
    </row>
    <row r="449" ht="12.75" customHeight="1">
      <c r="C449" s="96"/>
      <c r="F449" s="96"/>
    </row>
    <row r="450" ht="12.75" customHeight="1">
      <c r="C450" s="96"/>
      <c r="F450" s="96"/>
    </row>
    <row r="451" ht="12.75" customHeight="1">
      <c r="C451" s="96"/>
      <c r="F451" s="96"/>
    </row>
    <row r="452" ht="12.75" customHeight="1">
      <c r="C452" s="96"/>
      <c r="F452" s="96"/>
    </row>
    <row r="453" ht="12.75" customHeight="1">
      <c r="C453" s="96"/>
      <c r="F453" s="96"/>
    </row>
    <row r="454" ht="12.75" customHeight="1">
      <c r="C454" s="96"/>
      <c r="F454" s="96"/>
    </row>
    <row r="455" ht="12.75" customHeight="1">
      <c r="C455" s="96"/>
      <c r="F455" s="96"/>
    </row>
    <row r="456" ht="12.75" customHeight="1">
      <c r="C456" s="96"/>
      <c r="F456" s="96"/>
    </row>
    <row r="457" ht="12.75" customHeight="1">
      <c r="C457" s="96"/>
      <c r="F457" s="96"/>
    </row>
    <row r="458" ht="12.75" customHeight="1">
      <c r="C458" s="96"/>
      <c r="F458" s="96"/>
    </row>
    <row r="459" ht="12.75" customHeight="1">
      <c r="C459" s="96"/>
      <c r="F459" s="96"/>
    </row>
    <row r="460" ht="12.75" customHeight="1">
      <c r="C460" s="96"/>
      <c r="F460" s="96"/>
    </row>
    <row r="461" ht="12.75" customHeight="1">
      <c r="C461" s="96"/>
      <c r="F461" s="96"/>
    </row>
    <row r="462" ht="12.75" customHeight="1">
      <c r="C462" s="96"/>
      <c r="F462" s="96"/>
    </row>
    <row r="463" ht="12.75" customHeight="1">
      <c r="C463" s="96"/>
      <c r="F463" s="96"/>
    </row>
    <row r="464" ht="12.75" customHeight="1">
      <c r="C464" s="96"/>
      <c r="F464" s="96"/>
    </row>
    <row r="465" ht="12.75" customHeight="1">
      <c r="C465" s="96"/>
      <c r="F465" s="96"/>
    </row>
    <row r="466" ht="12.75" customHeight="1">
      <c r="C466" s="96"/>
      <c r="F466" s="96"/>
    </row>
    <row r="467" ht="12.75" customHeight="1">
      <c r="C467" s="96"/>
      <c r="F467" s="96"/>
    </row>
    <row r="468" ht="12.75" customHeight="1">
      <c r="C468" s="96"/>
      <c r="F468" s="96"/>
    </row>
    <row r="469" ht="12.75" customHeight="1">
      <c r="C469" s="96"/>
      <c r="F469" s="96"/>
    </row>
    <row r="470" ht="12.75" customHeight="1">
      <c r="C470" s="96"/>
      <c r="F470" s="96"/>
    </row>
    <row r="471" ht="12.75" customHeight="1">
      <c r="C471" s="96"/>
      <c r="F471" s="96"/>
    </row>
    <row r="472" ht="12.75" customHeight="1">
      <c r="C472" s="96"/>
      <c r="F472" s="96"/>
    </row>
    <row r="473" ht="12.75" customHeight="1">
      <c r="C473" s="96"/>
      <c r="F473" s="96"/>
    </row>
    <row r="474" ht="12.75" customHeight="1">
      <c r="C474" s="96"/>
      <c r="F474" s="96"/>
    </row>
    <row r="475" ht="12.75" customHeight="1">
      <c r="C475" s="96"/>
      <c r="F475" s="96"/>
    </row>
    <row r="476" ht="12.75" customHeight="1">
      <c r="C476" s="96"/>
      <c r="F476" s="96"/>
    </row>
    <row r="477" ht="12.75" customHeight="1">
      <c r="C477" s="96"/>
      <c r="F477" s="96"/>
    </row>
    <row r="478" ht="12.75" customHeight="1">
      <c r="C478" s="96"/>
      <c r="F478" s="96"/>
    </row>
    <row r="479" ht="12.75" customHeight="1">
      <c r="C479" s="96"/>
      <c r="F479" s="96"/>
    </row>
    <row r="480" ht="12.75" customHeight="1">
      <c r="C480" s="96"/>
      <c r="F480" s="96"/>
    </row>
    <row r="481" ht="12.75" customHeight="1">
      <c r="C481" s="96"/>
      <c r="F481" s="96"/>
    </row>
    <row r="482" ht="12.75" customHeight="1">
      <c r="C482" s="96"/>
      <c r="F482" s="96"/>
    </row>
    <row r="483" ht="12.75" customHeight="1">
      <c r="C483" s="96"/>
      <c r="F483" s="96"/>
    </row>
    <row r="484" ht="12.75" customHeight="1">
      <c r="C484" s="96"/>
      <c r="F484" s="96"/>
    </row>
    <row r="485" ht="12.75" customHeight="1">
      <c r="C485" s="96"/>
      <c r="F485" s="96"/>
    </row>
    <row r="486" ht="12.75" customHeight="1">
      <c r="C486" s="96"/>
      <c r="F486" s="96"/>
    </row>
    <row r="487" ht="12.75" customHeight="1">
      <c r="C487" s="96"/>
      <c r="F487" s="96"/>
    </row>
    <row r="488" ht="12.75" customHeight="1">
      <c r="C488" s="96"/>
      <c r="F488" s="96"/>
    </row>
    <row r="489" ht="12.75" customHeight="1">
      <c r="C489" s="96"/>
      <c r="F489" s="96"/>
    </row>
    <row r="490" ht="12.75" customHeight="1">
      <c r="C490" s="96"/>
      <c r="F490" s="96"/>
    </row>
    <row r="491" ht="12.75" customHeight="1">
      <c r="C491" s="96"/>
      <c r="F491" s="96"/>
    </row>
    <row r="492" ht="12.75" customHeight="1">
      <c r="C492" s="96"/>
      <c r="F492" s="96"/>
    </row>
    <row r="493" ht="12.75" customHeight="1">
      <c r="C493" s="96"/>
      <c r="F493" s="96"/>
    </row>
    <row r="494" ht="12.75" customHeight="1">
      <c r="C494" s="96"/>
      <c r="F494" s="96"/>
    </row>
    <row r="495" ht="12.75" customHeight="1">
      <c r="C495" s="96"/>
      <c r="F495" s="96"/>
    </row>
    <row r="496" ht="12.75" customHeight="1">
      <c r="C496" s="96"/>
      <c r="F496" s="96"/>
    </row>
    <row r="497" ht="12.75" customHeight="1">
      <c r="C497" s="96"/>
      <c r="F497" s="96"/>
    </row>
    <row r="498" ht="12.75" customHeight="1">
      <c r="C498" s="96"/>
      <c r="F498" s="96"/>
    </row>
    <row r="499" ht="12.75" customHeight="1">
      <c r="C499" s="96"/>
      <c r="F499" s="96"/>
    </row>
    <row r="500" ht="12.75" customHeight="1">
      <c r="C500" s="96"/>
      <c r="F500" s="96"/>
    </row>
    <row r="501" ht="12.75" customHeight="1">
      <c r="C501" s="96"/>
      <c r="F501" s="96"/>
    </row>
    <row r="502" ht="12.75" customHeight="1">
      <c r="C502" s="96"/>
      <c r="F502" s="96"/>
    </row>
    <row r="503" ht="12.75" customHeight="1">
      <c r="C503" s="96"/>
      <c r="F503" s="96"/>
    </row>
    <row r="504" ht="12.75" customHeight="1">
      <c r="C504" s="96"/>
      <c r="F504" s="96"/>
    </row>
    <row r="505" ht="12.75" customHeight="1">
      <c r="C505" s="96"/>
      <c r="F505" s="96"/>
    </row>
    <row r="506" ht="12.75" customHeight="1">
      <c r="C506" s="96"/>
      <c r="F506" s="96"/>
    </row>
    <row r="507" ht="12.75" customHeight="1">
      <c r="C507" s="96"/>
      <c r="F507" s="96"/>
    </row>
    <row r="508" ht="12.75" customHeight="1">
      <c r="C508" s="96"/>
      <c r="F508" s="96"/>
    </row>
    <row r="509" ht="12.75" customHeight="1">
      <c r="C509" s="96"/>
      <c r="F509" s="96"/>
    </row>
    <row r="510" ht="12.75" customHeight="1">
      <c r="C510" s="96"/>
      <c r="F510" s="96"/>
    </row>
    <row r="511" ht="12.75" customHeight="1">
      <c r="C511" s="96"/>
      <c r="F511" s="96"/>
    </row>
    <row r="512" ht="12.75" customHeight="1">
      <c r="C512" s="96"/>
      <c r="F512" s="96"/>
    </row>
    <row r="513" ht="12.75" customHeight="1">
      <c r="C513" s="96"/>
      <c r="F513" s="96"/>
    </row>
    <row r="514" ht="12.75" customHeight="1">
      <c r="C514" s="96"/>
      <c r="F514" s="96"/>
    </row>
    <row r="515" ht="12.75" customHeight="1">
      <c r="C515" s="96"/>
      <c r="F515" s="96"/>
    </row>
    <row r="516" ht="12.75" customHeight="1">
      <c r="C516" s="96"/>
      <c r="F516" s="96"/>
    </row>
    <row r="517" ht="12.75" customHeight="1">
      <c r="C517" s="96"/>
      <c r="F517" s="96"/>
    </row>
    <row r="518" ht="12.75" customHeight="1">
      <c r="C518" s="96"/>
      <c r="F518" s="96"/>
    </row>
    <row r="519" ht="12.75" customHeight="1">
      <c r="C519" s="96"/>
      <c r="F519" s="96"/>
    </row>
    <row r="520" ht="12.75" customHeight="1">
      <c r="C520" s="96"/>
      <c r="F520" s="96"/>
    </row>
    <row r="521" ht="12.75" customHeight="1">
      <c r="C521" s="96"/>
      <c r="F521" s="96"/>
    </row>
    <row r="522" ht="12.75" customHeight="1">
      <c r="C522" s="96"/>
      <c r="F522" s="96"/>
    </row>
    <row r="523" ht="12.75" customHeight="1">
      <c r="C523" s="96"/>
      <c r="F523" s="96"/>
    </row>
    <row r="524" ht="12.75" customHeight="1">
      <c r="C524" s="96"/>
      <c r="F524" s="96"/>
    </row>
    <row r="525" ht="12.75" customHeight="1">
      <c r="C525" s="96"/>
      <c r="F525" s="96"/>
    </row>
    <row r="526" ht="12.75" customHeight="1">
      <c r="C526" s="96"/>
      <c r="F526" s="96"/>
    </row>
    <row r="527" ht="12.75" customHeight="1">
      <c r="C527" s="96"/>
      <c r="F527" s="96"/>
    </row>
    <row r="528" ht="12.75" customHeight="1">
      <c r="C528" s="96"/>
      <c r="F528" s="96"/>
    </row>
    <row r="529" ht="12.75" customHeight="1">
      <c r="C529" s="96"/>
      <c r="F529" s="96"/>
    </row>
    <row r="530" ht="12.75" customHeight="1">
      <c r="C530" s="96"/>
      <c r="F530" s="96"/>
    </row>
    <row r="531" ht="12.75" customHeight="1">
      <c r="C531" s="96"/>
      <c r="F531" s="96"/>
    </row>
    <row r="532" ht="12.75" customHeight="1">
      <c r="C532" s="96"/>
      <c r="F532" s="96"/>
    </row>
    <row r="533" ht="12.75" customHeight="1">
      <c r="C533" s="96"/>
      <c r="F533" s="96"/>
    </row>
    <row r="534" ht="12.75" customHeight="1">
      <c r="C534" s="96"/>
      <c r="F534" s="96"/>
    </row>
    <row r="535" ht="12.75" customHeight="1">
      <c r="C535" s="96"/>
      <c r="F535" s="96"/>
    </row>
    <row r="536" ht="12.75" customHeight="1">
      <c r="C536" s="96"/>
      <c r="F536" s="96"/>
    </row>
    <row r="537" ht="12.75" customHeight="1">
      <c r="C537" s="96"/>
      <c r="F537" s="96"/>
    </row>
    <row r="538" ht="12.75" customHeight="1">
      <c r="C538" s="96"/>
      <c r="F538" s="96"/>
    </row>
    <row r="539" ht="12.75" customHeight="1">
      <c r="C539" s="96"/>
      <c r="F539" s="96"/>
    </row>
    <row r="540" ht="12.75" customHeight="1">
      <c r="C540" s="96"/>
      <c r="F540" s="96"/>
    </row>
    <row r="541" ht="12.75" customHeight="1">
      <c r="C541" s="96"/>
      <c r="F541" s="96"/>
    </row>
    <row r="542" ht="12.75" customHeight="1">
      <c r="C542" s="96"/>
      <c r="F542" s="96"/>
    </row>
    <row r="543" ht="12.75" customHeight="1">
      <c r="C543" s="96"/>
      <c r="F543" s="96"/>
    </row>
    <row r="544" ht="12.75" customHeight="1">
      <c r="C544" s="96"/>
      <c r="F544" s="96"/>
    </row>
    <row r="545" ht="12.75" customHeight="1">
      <c r="C545" s="96"/>
      <c r="F545" s="96"/>
    </row>
    <row r="546" ht="12.75" customHeight="1">
      <c r="C546" s="96"/>
      <c r="F546" s="96"/>
    </row>
    <row r="547" ht="12.75" customHeight="1">
      <c r="C547" s="96"/>
      <c r="F547" s="96"/>
    </row>
    <row r="548" ht="12.75" customHeight="1">
      <c r="C548" s="96"/>
      <c r="F548" s="96"/>
    </row>
    <row r="549" ht="12.75" customHeight="1">
      <c r="C549" s="96"/>
      <c r="F549" s="96"/>
    </row>
    <row r="550" ht="12.75" customHeight="1">
      <c r="C550" s="96"/>
      <c r="F550" s="96"/>
    </row>
    <row r="551" ht="12.75" customHeight="1">
      <c r="C551" s="96"/>
      <c r="F551" s="96"/>
    </row>
    <row r="552" ht="12.75" customHeight="1">
      <c r="C552" s="96"/>
      <c r="F552" s="96"/>
    </row>
    <row r="553" ht="12.75" customHeight="1">
      <c r="C553" s="96"/>
      <c r="F553" s="96"/>
    </row>
    <row r="554" ht="12.75" customHeight="1">
      <c r="C554" s="96"/>
      <c r="F554" s="96"/>
    </row>
    <row r="555" ht="12.75" customHeight="1">
      <c r="C555" s="96"/>
      <c r="F555" s="96"/>
    </row>
    <row r="556" ht="12.75" customHeight="1">
      <c r="C556" s="96"/>
      <c r="F556" s="96"/>
    </row>
    <row r="557" ht="12.75" customHeight="1">
      <c r="C557" s="96"/>
      <c r="F557" s="96"/>
    </row>
    <row r="558" ht="12.75" customHeight="1">
      <c r="C558" s="96"/>
      <c r="F558" s="96"/>
    </row>
    <row r="559" ht="12.75" customHeight="1">
      <c r="C559" s="96"/>
      <c r="F559" s="96"/>
    </row>
    <row r="560" ht="12.75" customHeight="1">
      <c r="C560" s="96"/>
      <c r="F560" s="96"/>
    </row>
    <row r="561" ht="12.75" customHeight="1">
      <c r="C561" s="96"/>
      <c r="F561" s="96"/>
    </row>
    <row r="562" ht="12.75" customHeight="1">
      <c r="C562" s="96"/>
      <c r="F562" s="96"/>
    </row>
    <row r="563" ht="12.75" customHeight="1">
      <c r="C563" s="96"/>
      <c r="F563" s="96"/>
    </row>
    <row r="564" ht="12.75" customHeight="1">
      <c r="C564" s="96"/>
      <c r="F564" s="96"/>
    </row>
    <row r="565" ht="12.75" customHeight="1">
      <c r="C565" s="96"/>
      <c r="F565" s="96"/>
    </row>
    <row r="566" ht="12.75" customHeight="1">
      <c r="C566" s="96"/>
      <c r="F566" s="96"/>
    </row>
    <row r="567" ht="12.75" customHeight="1">
      <c r="C567" s="96"/>
      <c r="F567" s="96"/>
    </row>
    <row r="568" ht="12.75" customHeight="1">
      <c r="C568" s="96"/>
      <c r="F568" s="96"/>
    </row>
    <row r="569" ht="12.75" customHeight="1">
      <c r="C569" s="96"/>
      <c r="F569" s="96"/>
    </row>
    <row r="570" ht="12.75" customHeight="1">
      <c r="C570" s="96"/>
      <c r="F570" s="96"/>
    </row>
    <row r="571" ht="12.75" customHeight="1">
      <c r="C571" s="96"/>
      <c r="F571" s="96"/>
    </row>
    <row r="572" ht="12.75" customHeight="1">
      <c r="C572" s="96"/>
      <c r="F572" s="96"/>
    </row>
    <row r="573" ht="12.75" customHeight="1">
      <c r="C573" s="96"/>
      <c r="F573" s="96"/>
    </row>
    <row r="574" ht="12.75" customHeight="1">
      <c r="C574" s="96"/>
      <c r="F574" s="96"/>
    </row>
    <row r="575" ht="12.75" customHeight="1">
      <c r="C575" s="96"/>
      <c r="F575" s="96"/>
    </row>
    <row r="576" ht="12.75" customHeight="1">
      <c r="C576" s="96"/>
      <c r="F576" s="96"/>
    </row>
    <row r="577" ht="12.75" customHeight="1">
      <c r="C577" s="96"/>
      <c r="F577" s="96"/>
    </row>
    <row r="578" ht="12.75" customHeight="1">
      <c r="C578" s="96"/>
      <c r="F578" s="96"/>
    </row>
    <row r="579" ht="12.75" customHeight="1">
      <c r="C579" s="96"/>
      <c r="F579" s="96"/>
    </row>
    <row r="580" ht="12.75" customHeight="1">
      <c r="C580" s="96"/>
      <c r="F580" s="96"/>
    </row>
    <row r="581" ht="12.75" customHeight="1">
      <c r="C581" s="96"/>
      <c r="F581" s="96"/>
    </row>
    <row r="582" ht="12.75" customHeight="1">
      <c r="C582" s="96"/>
      <c r="F582" s="96"/>
    </row>
    <row r="583" ht="12.75" customHeight="1">
      <c r="C583" s="96"/>
      <c r="F583" s="96"/>
    </row>
    <row r="584" ht="12.75" customHeight="1">
      <c r="C584" s="96"/>
      <c r="F584" s="96"/>
    </row>
    <row r="585" ht="12.75" customHeight="1">
      <c r="C585" s="96"/>
      <c r="F585" s="96"/>
    </row>
    <row r="586" ht="12.75" customHeight="1">
      <c r="C586" s="96"/>
      <c r="F586" s="96"/>
    </row>
    <row r="587" ht="12.75" customHeight="1">
      <c r="C587" s="96"/>
      <c r="F587" s="96"/>
    </row>
    <row r="588" ht="12.75" customHeight="1">
      <c r="C588" s="96"/>
      <c r="F588" s="96"/>
    </row>
    <row r="589" ht="12.75" customHeight="1">
      <c r="C589" s="96"/>
      <c r="F589" s="96"/>
    </row>
    <row r="590" ht="12.75" customHeight="1">
      <c r="C590" s="96"/>
      <c r="F590" s="96"/>
    </row>
    <row r="591" ht="12.75" customHeight="1">
      <c r="C591" s="96"/>
      <c r="F591" s="96"/>
    </row>
    <row r="592" ht="12.75" customHeight="1">
      <c r="C592" s="96"/>
      <c r="F592" s="96"/>
    </row>
    <row r="593" ht="12.75" customHeight="1">
      <c r="C593" s="96"/>
      <c r="F593" s="96"/>
    </row>
    <row r="594" ht="12.75" customHeight="1">
      <c r="C594" s="96"/>
      <c r="F594" s="96"/>
    </row>
    <row r="595" ht="12.75" customHeight="1">
      <c r="C595" s="96"/>
      <c r="F595" s="96"/>
    </row>
    <row r="596" ht="12.75" customHeight="1">
      <c r="C596" s="96"/>
      <c r="F596" s="96"/>
    </row>
    <row r="597" ht="12.75" customHeight="1">
      <c r="C597" s="96"/>
      <c r="F597" s="96"/>
    </row>
    <row r="598" ht="12.75" customHeight="1">
      <c r="C598" s="96"/>
      <c r="F598" s="96"/>
    </row>
    <row r="599" ht="12.75" customHeight="1">
      <c r="C599" s="96"/>
      <c r="F599" s="96"/>
    </row>
    <row r="600" ht="12.75" customHeight="1">
      <c r="C600" s="96"/>
      <c r="F600" s="96"/>
    </row>
    <row r="601" ht="12.75" customHeight="1">
      <c r="C601" s="96"/>
      <c r="F601" s="96"/>
    </row>
    <row r="602" ht="12.75" customHeight="1">
      <c r="C602" s="96"/>
      <c r="F602" s="96"/>
    </row>
    <row r="603" ht="12.75" customHeight="1">
      <c r="C603" s="96"/>
      <c r="F603" s="96"/>
    </row>
    <row r="604" ht="12.75" customHeight="1">
      <c r="C604" s="96"/>
      <c r="F604" s="96"/>
    </row>
    <row r="605" ht="12.75" customHeight="1">
      <c r="C605" s="96"/>
      <c r="F605" s="96"/>
    </row>
    <row r="606" ht="12.75" customHeight="1">
      <c r="C606" s="96"/>
      <c r="F606" s="96"/>
    </row>
    <row r="607" ht="12.75" customHeight="1">
      <c r="C607" s="96"/>
      <c r="F607" s="96"/>
    </row>
    <row r="608" ht="12.75" customHeight="1">
      <c r="C608" s="96"/>
      <c r="F608" s="96"/>
    </row>
    <row r="609" ht="12.75" customHeight="1">
      <c r="C609" s="96"/>
      <c r="F609" s="96"/>
    </row>
    <row r="610" ht="12.75" customHeight="1">
      <c r="C610" s="96"/>
      <c r="F610" s="96"/>
    </row>
    <row r="611" ht="12.75" customHeight="1">
      <c r="C611" s="96"/>
      <c r="F611" s="96"/>
    </row>
    <row r="612" ht="12.75" customHeight="1">
      <c r="C612" s="96"/>
      <c r="F612" s="96"/>
    </row>
    <row r="613" ht="12.75" customHeight="1">
      <c r="C613" s="96"/>
      <c r="F613" s="96"/>
    </row>
    <row r="614" ht="12.75" customHeight="1">
      <c r="C614" s="96"/>
      <c r="F614" s="96"/>
    </row>
    <row r="615" ht="12.75" customHeight="1">
      <c r="C615" s="96"/>
      <c r="F615" s="96"/>
    </row>
    <row r="616" ht="12.75" customHeight="1">
      <c r="C616" s="96"/>
      <c r="F616" s="96"/>
    </row>
    <row r="617" ht="12.75" customHeight="1">
      <c r="C617" s="96"/>
      <c r="F617" s="96"/>
    </row>
    <row r="618" ht="12.75" customHeight="1">
      <c r="C618" s="96"/>
      <c r="F618" s="96"/>
    </row>
    <row r="619" ht="12.75" customHeight="1">
      <c r="C619" s="96"/>
      <c r="F619" s="96"/>
    </row>
    <row r="620" ht="12.75" customHeight="1">
      <c r="C620" s="96"/>
      <c r="F620" s="96"/>
    </row>
    <row r="621" ht="12.75" customHeight="1">
      <c r="C621" s="96"/>
      <c r="F621" s="96"/>
    </row>
    <row r="622" ht="12.75" customHeight="1">
      <c r="C622" s="96"/>
      <c r="F622" s="96"/>
    </row>
    <row r="623" ht="12.75" customHeight="1">
      <c r="C623" s="96"/>
      <c r="F623" s="96"/>
    </row>
    <row r="624" ht="12.75" customHeight="1">
      <c r="C624" s="96"/>
      <c r="F624" s="96"/>
    </row>
    <row r="625" ht="12.75" customHeight="1">
      <c r="C625" s="96"/>
      <c r="F625" s="96"/>
    </row>
    <row r="626" ht="12.75" customHeight="1">
      <c r="C626" s="96"/>
      <c r="F626" s="96"/>
    </row>
    <row r="627" ht="12.75" customHeight="1">
      <c r="C627" s="96"/>
      <c r="F627" s="96"/>
    </row>
    <row r="628" ht="12.75" customHeight="1">
      <c r="C628" s="96"/>
      <c r="F628" s="96"/>
    </row>
    <row r="629" ht="12.75" customHeight="1">
      <c r="C629" s="96"/>
      <c r="F629" s="96"/>
    </row>
    <row r="630" ht="12.75" customHeight="1">
      <c r="C630" s="96"/>
      <c r="F630" s="96"/>
    </row>
    <row r="631" ht="12.75" customHeight="1">
      <c r="C631" s="96"/>
      <c r="F631" s="96"/>
    </row>
    <row r="632" ht="12.75" customHeight="1">
      <c r="C632" s="96"/>
      <c r="F632" s="96"/>
    </row>
    <row r="633" ht="12.75" customHeight="1">
      <c r="C633" s="96"/>
      <c r="F633" s="96"/>
    </row>
    <row r="634" ht="12.75" customHeight="1">
      <c r="C634" s="96"/>
      <c r="F634" s="96"/>
    </row>
    <row r="635" ht="12.75" customHeight="1">
      <c r="C635" s="96"/>
      <c r="F635" s="96"/>
    </row>
    <row r="636" ht="12.75" customHeight="1">
      <c r="C636" s="96"/>
      <c r="F636" s="96"/>
    </row>
    <row r="637" ht="12.75" customHeight="1">
      <c r="C637" s="96"/>
      <c r="F637" s="96"/>
    </row>
    <row r="638" ht="12.75" customHeight="1">
      <c r="C638" s="96"/>
      <c r="F638" s="96"/>
    </row>
    <row r="639" ht="12.75" customHeight="1">
      <c r="C639" s="96"/>
      <c r="F639" s="96"/>
    </row>
    <row r="640" ht="12.75" customHeight="1">
      <c r="C640" s="96"/>
      <c r="F640" s="96"/>
    </row>
    <row r="641" ht="12.75" customHeight="1">
      <c r="C641" s="96"/>
      <c r="F641" s="96"/>
    </row>
    <row r="642" ht="12.75" customHeight="1">
      <c r="C642" s="96"/>
      <c r="F642" s="96"/>
    </row>
    <row r="643" ht="12.75" customHeight="1">
      <c r="C643" s="96"/>
      <c r="F643" s="96"/>
    </row>
    <row r="644" ht="12.75" customHeight="1">
      <c r="C644" s="96"/>
      <c r="F644" s="96"/>
    </row>
    <row r="645" ht="12.75" customHeight="1">
      <c r="C645" s="96"/>
      <c r="F645" s="96"/>
    </row>
    <row r="646" ht="12.75" customHeight="1">
      <c r="C646" s="96"/>
      <c r="F646" s="96"/>
    </row>
    <row r="647" ht="12.75" customHeight="1">
      <c r="C647" s="96"/>
      <c r="F647" s="96"/>
    </row>
    <row r="648" ht="12.75" customHeight="1">
      <c r="C648" s="96"/>
      <c r="F648" s="96"/>
    </row>
    <row r="649" ht="12.75" customHeight="1">
      <c r="C649" s="96"/>
      <c r="F649" s="96"/>
    </row>
    <row r="650" ht="12.75" customHeight="1">
      <c r="C650" s="96"/>
      <c r="F650" s="96"/>
    </row>
    <row r="651" ht="12.75" customHeight="1">
      <c r="C651" s="96"/>
      <c r="F651" s="96"/>
    </row>
    <row r="652" ht="12.75" customHeight="1">
      <c r="C652" s="96"/>
      <c r="F652" s="96"/>
    </row>
    <row r="653" ht="12.75" customHeight="1">
      <c r="C653" s="96"/>
      <c r="F653" s="96"/>
    </row>
    <row r="654" ht="12.75" customHeight="1">
      <c r="C654" s="96"/>
      <c r="F654" s="96"/>
    </row>
    <row r="655" ht="12.75" customHeight="1">
      <c r="C655" s="96"/>
      <c r="F655" s="96"/>
    </row>
    <row r="656" ht="12.75" customHeight="1">
      <c r="C656" s="96"/>
      <c r="F656" s="96"/>
    </row>
    <row r="657" ht="12.75" customHeight="1">
      <c r="C657" s="96"/>
      <c r="F657" s="96"/>
    </row>
    <row r="658" ht="12.75" customHeight="1">
      <c r="C658" s="96"/>
      <c r="F658" s="96"/>
    </row>
    <row r="659" ht="12.75" customHeight="1">
      <c r="C659" s="96"/>
      <c r="F659" s="96"/>
    </row>
    <row r="660" ht="12.75" customHeight="1">
      <c r="C660" s="96"/>
      <c r="F660" s="96"/>
    </row>
    <row r="661" ht="12.75" customHeight="1">
      <c r="C661" s="96"/>
      <c r="F661" s="96"/>
    </row>
    <row r="662" ht="12.75" customHeight="1">
      <c r="C662" s="96"/>
      <c r="F662" s="96"/>
    </row>
    <row r="663" ht="12.75" customHeight="1">
      <c r="C663" s="96"/>
      <c r="F663" s="96"/>
    </row>
    <row r="664" ht="12.75" customHeight="1">
      <c r="C664" s="96"/>
      <c r="F664" s="96"/>
    </row>
    <row r="665" ht="12.75" customHeight="1">
      <c r="C665" s="96"/>
      <c r="F665" s="96"/>
    </row>
    <row r="666" ht="12.75" customHeight="1">
      <c r="C666" s="96"/>
      <c r="F666" s="96"/>
    </row>
    <row r="667" ht="12.75" customHeight="1">
      <c r="C667" s="96"/>
      <c r="F667" s="96"/>
    </row>
    <row r="668" ht="12.75" customHeight="1">
      <c r="C668" s="96"/>
      <c r="F668" s="96"/>
    </row>
    <row r="669" ht="12.75" customHeight="1">
      <c r="C669" s="96"/>
      <c r="F669" s="96"/>
    </row>
    <row r="670" ht="12.75" customHeight="1">
      <c r="C670" s="96"/>
      <c r="F670" s="96"/>
    </row>
    <row r="671" ht="12.75" customHeight="1">
      <c r="C671" s="96"/>
      <c r="F671" s="96"/>
    </row>
    <row r="672" ht="12.75" customHeight="1">
      <c r="C672" s="96"/>
      <c r="F672" s="96"/>
    </row>
    <row r="673" ht="12.75" customHeight="1">
      <c r="C673" s="96"/>
      <c r="F673" s="96"/>
    </row>
    <row r="674" ht="12.75" customHeight="1">
      <c r="C674" s="96"/>
      <c r="F674" s="96"/>
    </row>
    <row r="675" ht="12.75" customHeight="1">
      <c r="C675" s="96"/>
      <c r="F675" s="96"/>
    </row>
    <row r="676" ht="12.75" customHeight="1">
      <c r="C676" s="96"/>
      <c r="F676" s="96"/>
    </row>
    <row r="677" ht="12.75" customHeight="1">
      <c r="C677" s="96"/>
      <c r="F677" s="96"/>
    </row>
    <row r="678" ht="12.75" customHeight="1">
      <c r="C678" s="96"/>
      <c r="F678" s="96"/>
    </row>
    <row r="679" ht="12.75" customHeight="1">
      <c r="C679" s="96"/>
      <c r="F679" s="96"/>
    </row>
    <row r="680" ht="12.75" customHeight="1">
      <c r="C680" s="96"/>
      <c r="F680" s="96"/>
    </row>
    <row r="681" ht="12.75" customHeight="1">
      <c r="C681" s="96"/>
      <c r="F681" s="96"/>
    </row>
    <row r="682" ht="12.75" customHeight="1">
      <c r="C682" s="96"/>
      <c r="F682" s="96"/>
    </row>
    <row r="683" ht="12.75" customHeight="1">
      <c r="C683" s="96"/>
      <c r="F683" s="96"/>
    </row>
    <row r="684" ht="12.75" customHeight="1">
      <c r="C684" s="96"/>
      <c r="F684" s="96"/>
    </row>
    <row r="685" ht="12.75" customHeight="1">
      <c r="C685" s="96"/>
      <c r="F685" s="96"/>
    </row>
    <row r="686" ht="12.75" customHeight="1">
      <c r="C686" s="96"/>
      <c r="F686" s="96"/>
    </row>
    <row r="687" ht="12.75" customHeight="1">
      <c r="C687" s="96"/>
      <c r="F687" s="96"/>
    </row>
    <row r="688" ht="12.75" customHeight="1">
      <c r="C688" s="96"/>
      <c r="F688" s="96"/>
    </row>
    <row r="689" ht="12.75" customHeight="1">
      <c r="C689" s="96"/>
      <c r="F689" s="96"/>
    </row>
    <row r="690" ht="12.75" customHeight="1">
      <c r="C690" s="96"/>
      <c r="F690" s="96"/>
    </row>
    <row r="691" ht="12.75" customHeight="1">
      <c r="C691" s="96"/>
      <c r="F691" s="96"/>
    </row>
    <row r="692" ht="12.75" customHeight="1">
      <c r="C692" s="96"/>
      <c r="F692" s="96"/>
    </row>
    <row r="693" ht="12.75" customHeight="1">
      <c r="C693" s="96"/>
      <c r="F693" s="96"/>
    </row>
    <row r="694" ht="12.75" customHeight="1">
      <c r="C694" s="96"/>
      <c r="F694" s="96"/>
    </row>
    <row r="695" ht="12.75" customHeight="1">
      <c r="C695" s="96"/>
      <c r="F695" s="96"/>
    </row>
    <row r="696" ht="12.75" customHeight="1">
      <c r="C696" s="96"/>
      <c r="F696" s="96"/>
    </row>
    <row r="697" ht="12.75" customHeight="1">
      <c r="C697" s="96"/>
      <c r="F697" s="96"/>
    </row>
    <row r="698" ht="12.75" customHeight="1">
      <c r="C698" s="96"/>
      <c r="F698" s="96"/>
    </row>
    <row r="699" ht="12.75" customHeight="1">
      <c r="C699" s="96"/>
      <c r="F699" s="96"/>
    </row>
    <row r="700" ht="12.75" customHeight="1">
      <c r="C700" s="96"/>
      <c r="F700" s="96"/>
    </row>
    <row r="701" ht="12.75" customHeight="1">
      <c r="C701" s="96"/>
      <c r="F701" s="96"/>
    </row>
    <row r="702" ht="12.75" customHeight="1">
      <c r="C702" s="96"/>
      <c r="F702" s="96"/>
    </row>
    <row r="703" ht="12.75" customHeight="1">
      <c r="C703" s="96"/>
      <c r="F703" s="96"/>
    </row>
    <row r="704" ht="12.75" customHeight="1">
      <c r="C704" s="96"/>
      <c r="F704" s="96"/>
    </row>
    <row r="705" ht="12.75" customHeight="1">
      <c r="C705" s="96"/>
      <c r="F705" s="96"/>
    </row>
    <row r="706" ht="12.75" customHeight="1">
      <c r="C706" s="96"/>
      <c r="F706" s="96"/>
    </row>
    <row r="707" ht="12.75" customHeight="1">
      <c r="C707" s="96"/>
      <c r="F707" s="96"/>
    </row>
    <row r="708" ht="12.75" customHeight="1">
      <c r="C708" s="96"/>
      <c r="F708" s="96"/>
    </row>
    <row r="709" ht="12.75" customHeight="1">
      <c r="C709" s="96"/>
      <c r="F709" s="96"/>
    </row>
    <row r="710" ht="12.75" customHeight="1">
      <c r="C710" s="96"/>
      <c r="F710" s="96"/>
    </row>
    <row r="711" ht="12.75" customHeight="1">
      <c r="C711" s="96"/>
      <c r="F711" s="96"/>
    </row>
    <row r="712" ht="12.75" customHeight="1">
      <c r="C712" s="96"/>
      <c r="F712" s="96"/>
    </row>
    <row r="713" ht="12.75" customHeight="1">
      <c r="C713" s="96"/>
      <c r="F713" s="96"/>
    </row>
    <row r="714" ht="12.75" customHeight="1">
      <c r="C714" s="96"/>
      <c r="F714" s="96"/>
    </row>
    <row r="715" ht="12.75" customHeight="1">
      <c r="C715" s="96"/>
      <c r="F715" s="96"/>
    </row>
    <row r="716" ht="12.75" customHeight="1">
      <c r="C716" s="96"/>
      <c r="F716" s="96"/>
    </row>
    <row r="717" ht="12.75" customHeight="1">
      <c r="C717" s="96"/>
      <c r="F717" s="96"/>
    </row>
    <row r="718" ht="12.75" customHeight="1">
      <c r="C718" s="96"/>
      <c r="F718" s="96"/>
    </row>
    <row r="719" ht="12.75" customHeight="1">
      <c r="C719" s="96"/>
      <c r="F719" s="96"/>
    </row>
    <row r="720" ht="12.75" customHeight="1">
      <c r="C720" s="96"/>
      <c r="F720" s="96"/>
    </row>
    <row r="721" ht="12.75" customHeight="1">
      <c r="C721" s="96"/>
      <c r="F721" s="96"/>
    </row>
    <row r="722" ht="12.75" customHeight="1">
      <c r="C722" s="96"/>
      <c r="F722" s="96"/>
    </row>
    <row r="723" ht="12.75" customHeight="1">
      <c r="C723" s="96"/>
      <c r="F723" s="96"/>
    </row>
    <row r="724" ht="12.75" customHeight="1">
      <c r="C724" s="96"/>
      <c r="F724" s="96"/>
    </row>
    <row r="725" ht="12.75" customHeight="1">
      <c r="C725" s="96"/>
      <c r="F725" s="96"/>
    </row>
    <row r="726" ht="12.75" customHeight="1">
      <c r="C726" s="96"/>
      <c r="F726" s="96"/>
    </row>
    <row r="727" ht="12.75" customHeight="1">
      <c r="C727" s="96"/>
      <c r="F727" s="96"/>
    </row>
    <row r="728" ht="12.75" customHeight="1">
      <c r="C728" s="96"/>
      <c r="F728" s="96"/>
    </row>
    <row r="729" ht="12.75" customHeight="1">
      <c r="C729" s="96"/>
      <c r="F729" s="96"/>
    </row>
    <row r="730" ht="12.75" customHeight="1">
      <c r="C730" s="96"/>
      <c r="F730" s="96"/>
    </row>
    <row r="731" ht="12.75" customHeight="1">
      <c r="C731" s="96"/>
      <c r="F731" s="96"/>
    </row>
    <row r="732" ht="12.75" customHeight="1">
      <c r="C732" s="96"/>
      <c r="F732" s="96"/>
    </row>
    <row r="733" ht="12.75" customHeight="1">
      <c r="C733" s="96"/>
      <c r="F733" s="96"/>
    </row>
    <row r="734" ht="12.75" customHeight="1">
      <c r="C734" s="96"/>
      <c r="F734" s="96"/>
    </row>
    <row r="735" ht="12.75" customHeight="1">
      <c r="C735" s="96"/>
      <c r="F735" s="96"/>
    </row>
    <row r="736" ht="12.75" customHeight="1">
      <c r="C736" s="96"/>
      <c r="F736" s="96"/>
    </row>
    <row r="737" ht="12.75" customHeight="1">
      <c r="C737" s="96"/>
      <c r="F737" s="96"/>
    </row>
    <row r="738" ht="12.75" customHeight="1">
      <c r="C738" s="96"/>
      <c r="F738" s="96"/>
    </row>
    <row r="739" ht="12.75" customHeight="1">
      <c r="C739" s="96"/>
      <c r="F739" s="96"/>
    </row>
    <row r="740" ht="12.75" customHeight="1">
      <c r="C740" s="96"/>
      <c r="F740" s="96"/>
    </row>
    <row r="741" ht="12.75" customHeight="1">
      <c r="C741" s="96"/>
      <c r="F741" s="96"/>
    </row>
    <row r="742" ht="12.75" customHeight="1">
      <c r="C742" s="96"/>
      <c r="F742" s="96"/>
    </row>
    <row r="743" ht="12.75" customHeight="1">
      <c r="C743" s="96"/>
      <c r="F743" s="96"/>
    </row>
    <row r="744" ht="12.75" customHeight="1">
      <c r="C744" s="96"/>
      <c r="F744" s="96"/>
    </row>
    <row r="745" ht="12.75" customHeight="1">
      <c r="C745" s="96"/>
      <c r="F745" s="96"/>
    </row>
    <row r="746" ht="12.75" customHeight="1">
      <c r="C746" s="96"/>
      <c r="F746" s="96"/>
    </row>
    <row r="747" ht="12.75" customHeight="1">
      <c r="C747" s="96"/>
      <c r="F747" s="96"/>
    </row>
    <row r="748" ht="12.75" customHeight="1">
      <c r="C748" s="96"/>
      <c r="F748" s="96"/>
    </row>
    <row r="749" ht="12.75" customHeight="1">
      <c r="C749" s="96"/>
      <c r="F749" s="96"/>
    </row>
    <row r="750" ht="12.75" customHeight="1">
      <c r="C750" s="96"/>
      <c r="F750" s="96"/>
    </row>
    <row r="751" ht="12.75" customHeight="1">
      <c r="C751" s="96"/>
      <c r="F751" s="96"/>
    </row>
    <row r="752" ht="12.75" customHeight="1">
      <c r="C752" s="96"/>
      <c r="F752" s="96"/>
    </row>
    <row r="753" ht="12.75" customHeight="1">
      <c r="C753" s="96"/>
      <c r="F753" s="96"/>
    </row>
    <row r="754" ht="12.75" customHeight="1">
      <c r="C754" s="96"/>
      <c r="F754" s="96"/>
    </row>
    <row r="755" ht="12.75" customHeight="1">
      <c r="C755" s="96"/>
      <c r="F755" s="96"/>
    </row>
    <row r="756" ht="12.75" customHeight="1">
      <c r="C756" s="96"/>
      <c r="F756" s="96"/>
    </row>
    <row r="757" ht="12.75" customHeight="1">
      <c r="C757" s="96"/>
      <c r="F757" s="96"/>
    </row>
    <row r="758" ht="12.75" customHeight="1">
      <c r="C758" s="96"/>
      <c r="F758" s="96"/>
    </row>
    <row r="759" ht="12.75" customHeight="1">
      <c r="C759" s="96"/>
      <c r="F759" s="96"/>
    </row>
    <row r="760" ht="12.75" customHeight="1">
      <c r="C760" s="96"/>
      <c r="F760" s="96"/>
    </row>
    <row r="761" ht="12.75" customHeight="1">
      <c r="C761" s="96"/>
      <c r="F761" s="96"/>
    </row>
    <row r="762" ht="12.75" customHeight="1">
      <c r="C762" s="96"/>
      <c r="F762" s="96"/>
    </row>
    <row r="763" ht="12.75" customHeight="1">
      <c r="C763" s="96"/>
      <c r="F763" s="96"/>
    </row>
    <row r="764" ht="12.75" customHeight="1">
      <c r="C764" s="96"/>
      <c r="F764" s="96"/>
    </row>
    <row r="765" ht="12.75" customHeight="1">
      <c r="C765" s="96"/>
      <c r="F765" s="96"/>
    </row>
    <row r="766" ht="12.75" customHeight="1">
      <c r="C766" s="96"/>
      <c r="F766" s="96"/>
    </row>
    <row r="767" ht="12.75" customHeight="1">
      <c r="C767" s="96"/>
      <c r="F767" s="96"/>
    </row>
    <row r="768" ht="12.75" customHeight="1">
      <c r="C768" s="96"/>
      <c r="F768" s="96"/>
    </row>
    <row r="769" ht="12.75" customHeight="1">
      <c r="C769" s="96"/>
      <c r="F769" s="96"/>
    </row>
    <row r="770" ht="12.75" customHeight="1">
      <c r="C770" s="96"/>
      <c r="F770" s="96"/>
    </row>
    <row r="771" ht="12.75" customHeight="1">
      <c r="C771" s="96"/>
      <c r="F771" s="96"/>
    </row>
    <row r="772" ht="12.75" customHeight="1">
      <c r="C772" s="96"/>
      <c r="F772" s="96"/>
    </row>
    <row r="773" ht="12.75" customHeight="1">
      <c r="C773" s="96"/>
      <c r="F773" s="96"/>
    </row>
    <row r="774" ht="12.75" customHeight="1">
      <c r="C774" s="96"/>
      <c r="F774" s="96"/>
    </row>
    <row r="775" ht="12.75" customHeight="1">
      <c r="C775" s="96"/>
      <c r="F775" s="96"/>
    </row>
    <row r="776" ht="12.75" customHeight="1">
      <c r="C776" s="96"/>
      <c r="F776" s="96"/>
    </row>
    <row r="777" ht="12.75" customHeight="1">
      <c r="C777" s="96"/>
      <c r="F777" s="96"/>
    </row>
    <row r="778" ht="12.75" customHeight="1">
      <c r="C778" s="96"/>
      <c r="F778" s="96"/>
    </row>
    <row r="779" ht="12.75" customHeight="1">
      <c r="C779" s="96"/>
      <c r="F779" s="96"/>
    </row>
    <row r="780" ht="12.75" customHeight="1">
      <c r="C780" s="96"/>
      <c r="F780" s="96"/>
    </row>
    <row r="781" ht="12.75" customHeight="1">
      <c r="C781" s="96"/>
      <c r="F781" s="96"/>
    </row>
    <row r="782" ht="12.75" customHeight="1">
      <c r="C782" s="96"/>
      <c r="F782" s="96"/>
    </row>
    <row r="783" ht="12.75" customHeight="1">
      <c r="C783" s="96"/>
      <c r="F783" s="96"/>
    </row>
    <row r="784" ht="12.75" customHeight="1">
      <c r="C784" s="96"/>
      <c r="F784" s="96"/>
    </row>
    <row r="785" ht="12.75" customHeight="1">
      <c r="C785" s="96"/>
      <c r="F785" s="96"/>
    </row>
    <row r="786" ht="12.75" customHeight="1">
      <c r="C786" s="96"/>
      <c r="F786" s="96"/>
    </row>
    <row r="787" ht="12.75" customHeight="1">
      <c r="C787" s="96"/>
      <c r="F787" s="96"/>
    </row>
    <row r="788" ht="12.75" customHeight="1">
      <c r="C788" s="96"/>
      <c r="F788" s="96"/>
    </row>
    <row r="789" ht="12.75" customHeight="1">
      <c r="C789" s="96"/>
      <c r="F789" s="96"/>
    </row>
    <row r="790" ht="12.75" customHeight="1">
      <c r="C790" s="96"/>
      <c r="F790" s="96"/>
    </row>
    <row r="791" ht="12.75" customHeight="1">
      <c r="C791" s="96"/>
      <c r="F791" s="96"/>
    </row>
    <row r="792" ht="12.75" customHeight="1">
      <c r="C792" s="96"/>
      <c r="F792" s="96"/>
    </row>
    <row r="793" ht="12.75" customHeight="1">
      <c r="C793" s="96"/>
      <c r="F793" s="96"/>
    </row>
    <row r="794" ht="12.75" customHeight="1">
      <c r="C794" s="96"/>
      <c r="F794" s="96"/>
    </row>
    <row r="795" ht="12.75" customHeight="1">
      <c r="C795" s="96"/>
      <c r="F795" s="96"/>
    </row>
    <row r="796" ht="12.75" customHeight="1">
      <c r="C796" s="96"/>
      <c r="F796" s="96"/>
    </row>
    <row r="797" ht="12.75" customHeight="1">
      <c r="C797" s="96"/>
      <c r="F797" s="96"/>
    </row>
    <row r="798" ht="12.75" customHeight="1">
      <c r="C798" s="96"/>
      <c r="F798" s="96"/>
    </row>
    <row r="799" ht="12.75" customHeight="1">
      <c r="C799" s="96"/>
      <c r="F799" s="96"/>
    </row>
    <row r="800" ht="12.75" customHeight="1">
      <c r="C800" s="96"/>
      <c r="F800" s="96"/>
    </row>
    <row r="801" ht="12.75" customHeight="1">
      <c r="C801" s="96"/>
      <c r="F801" s="96"/>
    </row>
    <row r="802" ht="12.75" customHeight="1">
      <c r="C802" s="96"/>
      <c r="F802" s="96"/>
    </row>
    <row r="803" ht="12.75" customHeight="1">
      <c r="C803" s="96"/>
      <c r="F803" s="96"/>
    </row>
    <row r="804" ht="12.75" customHeight="1">
      <c r="C804" s="96"/>
      <c r="F804" s="96"/>
    </row>
    <row r="805" ht="12.75" customHeight="1">
      <c r="C805" s="96"/>
      <c r="F805" s="96"/>
    </row>
    <row r="806" ht="12.75" customHeight="1">
      <c r="C806" s="96"/>
      <c r="F806" s="96"/>
    </row>
    <row r="807" ht="12.75" customHeight="1">
      <c r="C807" s="96"/>
      <c r="F807" s="96"/>
    </row>
    <row r="808" ht="12.75" customHeight="1">
      <c r="C808" s="96"/>
      <c r="F808" s="96"/>
    </row>
    <row r="809" ht="12.75" customHeight="1">
      <c r="C809" s="96"/>
      <c r="F809" s="96"/>
    </row>
    <row r="810" ht="12.75" customHeight="1">
      <c r="C810" s="96"/>
      <c r="F810" s="96"/>
    </row>
    <row r="811" ht="12.75" customHeight="1">
      <c r="C811" s="96"/>
      <c r="F811" s="96"/>
    </row>
    <row r="812" ht="12.75" customHeight="1">
      <c r="C812" s="96"/>
      <c r="F812" s="96"/>
    </row>
    <row r="813" ht="12.75" customHeight="1">
      <c r="C813" s="96"/>
      <c r="F813" s="96"/>
    </row>
    <row r="814" ht="12.75" customHeight="1">
      <c r="C814" s="96"/>
      <c r="F814" s="96"/>
    </row>
    <row r="815" ht="12.75" customHeight="1">
      <c r="C815" s="96"/>
      <c r="F815" s="96"/>
    </row>
    <row r="816" ht="12.75" customHeight="1">
      <c r="C816" s="96"/>
      <c r="F816" s="96"/>
    </row>
    <row r="817" ht="12.75" customHeight="1">
      <c r="C817" s="96"/>
      <c r="F817" s="96"/>
    </row>
    <row r="818" ht="12.75" customHeight="1">
      <c r="C818" s="96"/>
      <c r="F818" s="96"/>
    </row>
    <row r="819" ht="12.75" customHeight="1">
      <c r="C819" s="96"/>
      <c r="F819" s="96"/>
    </row>
    <row r="820" ht="12.75" customHeight="1">
      <c r="C820" s="96"/>
      <c r="F820" s="96"/>
    </row>
    <row r="821" ht="12.75" customHeight="1">
      <c r="C821" s="96"/>
      <c r="F821" s="96"/>
    </row>
    <row r="822" ht="12.75" customHeight="1">
      <c r="C822" s="96"/>
      <c r="F822" s="96"/>
    </row>
    <row r="823" ht="12.75" customHeight="1">
      <c r="C823" s="96"/>
      <c r="F823" s="96"/>
    </row>
    <row r="824" ht="12.75" customHeight="1">
      <c r="C824" s="96"/>
      <c r="F824" s="96"/>
    </row>
    <row r="825" ht="12.75" customHeight="1">
      <c r="C825" s="96"/>
      <c r="F825" s="96"/>
    </row>
    <row r="826" ht="12.75" customHeight="1">
      <c r="C826" s="96"/>
      <c r="F826" s="96"/>
    </row>
    <row r="827" ht="12.75" customHeight="1">
      <c r="C827" s="96"/>
      <c r="F827" s="96"/>
    </row>
    <row r="828" ht="12.75" customHeight="1">
      <c r="C828" s="96"/>
      <c r="F828" s="96"/>
    </row>
    <row r="829" ht="12.75" customHeight="1">
      <c r="C829" s="96"/>
      <c r="F829" s="96"/>
    </row>
    <row r="830" ht="12.75" customHeight="1">
      <c r="C830" s="96"/>
      <c r="F830" s="96"/>
    </row>
    <row r="831" ht="12.75" customHeight="1">
      <c r="C831" s="96"/>
      <c r="F831" s="96"/>
    </row>
    <row r="832" ht="12.75" customHeight="1">
      <c r="C832" s="96"/>
      <c r="F832" s="96"/>
    </row>
    <row r="833" ht="12.75" customHeight="1">
      <c r="C833" s="96"/>
      <c r="F833" s="96"/>
    </row>
    <row r="834" ht="12.75" customHeight="1">
      <c r="C834" s="96"/>
      <c r="F834" s="96"/>
    </row>
    <row r="835" ht="12.75" customHeight="1">
      <c r="C835" s="96"/>
      <c r="F835" s="96"/>
    </row>
    <row r="836" ht="12.75" customHeight="1">
      <c r="C836" s="96"/>
      <c r="F836" s="96"/>
    </row>
    <row r="837" ht="12.75" customHeight="1">
      <c r="C837" s="96"/>
      <c r="F837" s="96"/>
    </row>
    <row r="838" ht="12.75" customHeight="1">
      <c r="C838" s="96"/>
      <c r="F838" s="96"/>
    </row>
    <row r="839" ht="12.75" customHeight="1">
      <c r="C839" s="96"/>
      <c r="F839" s="96"/>
    </row>
    <row r="840" ht="12.75" customHeight="1">
      <c r="C840" s="96"/>
      <c r="F840" s="96"/>
    </row>
    <row r="841" ht="12.75" customHeight="1">
      <c r="C841" s="96"/>
      <c r="F841" s="96"/>
    </row>
    <row r="842" ht="12.75" customHeight="1">
      <c r="C842" s="96"/>
      <c r="F842" s="96"/>
    </row>
    <row r="843" ht="12.75" customHeight="1">
      <c r="C843" s="96"/>
      <c r="F843" s="96"/>
    </row>
    <row r="844" ht="12.75" customHeight="1">
      <c r="C844" s="96"/>
      <c r="F844" s="96"/>
    </row>
    <row r="845" ht="12.75" customHeight="1">
      <c r="C845" s="96"/>
      <c r="F845" s="96"/>
    </row>
    <row r="846" ht="12.75" customHeight="1">
      <c r="C846" s="96"/>
      <c r="F846" s="96"/>
    </row>
    <row r="847" ht="12.75" customHeight="1">
      <c r="C847" s="96"/>
      <c r="F847" s="96"/>
    </row>
    <row r="848" ht="12.75" customHeight="1">
      <c r="C848" s="96"/>
      <c r="F848" s="96"/>
    </row>
    <row r="849" ht="12.75" customHeight="1">
      <c r="C849" s="96"/>
      <c r="F849" s="96"/>
    </row>
    <row r="850" ht="12.75" customHeight="1">
      <c r="C850" s="96"/>
      <c r="F850" s="96"/>
    </row>
    <row r="851" ht="12.75" customHeight="1">
      <c r="C851" s="96"/>
      <c r="F851" s="96"/>
    </row>
    <row r="852" ht="12.75" customHeight="1">
      <c r="C852" s="96"/>
      <c r="F852" s="96"/>
    </row>
    <row r="853" ht="12.75" customHeight="1">
      <c r="C853" s="96"/>
      <c r="F853" s="96"/>
    </row>
    <row r="854" ht="12.75" customHeight="1">
      <c r="C854" s="96"/>
      <c r="F854" s="96"/>
    </row>
    <row r="855" ht="12.75" customHeight="1">
      <c r="C855" s="96"/>
      <c r="F855" s="96"/>
    </row>
    <row r="856" ht="12.75" customHeight="1">
      <c r="C856" s="96"/>
      <c r="F856" s="96"/>
    </row>
    <row r="857" ht="12.75" customHeight="1">
      <c r="C857" s="96"/>
      <c r="F857" s="96"/>
    </row>
    <row r="858" ht="12.75" customHeight="1">
      <c r="C858" s="96"/>
      <c r="F858" s="96"/>
    </row>
    <row r="859" ht="12.75" customHeight="1">
      <c r="C859" s="96"/>
      <c r="F859" s="96"/>
    </row>
    <row r="860" ht="12.75" customHeight="1">
      <c r="C860" s="96"/>
      <c r="F860" s="96"/>
    </row>
    <row r="861" ht="12.75" customHeight="1">
      <c r="C861" s="96"/>
      <c r="F861" s="96"/>
    </row>
    <row r="862" ht="12.75" customHeight="1">
      <c r="C862" s="96"/>
      <c r="F862" s="96"/>
    </row>
    <row r="863" ht="12.75" customHeight="1">
      <c r="C863" s="96"/>
      <c r="F863" s="96"/>
    </row>
    <row r="864" ht="12.75" customHeight="1">
      <c r="C864" s="96"/>
      <c r="F864" s="96"/>
    </row>
    <row r="865" ht="12.75" customHeight="1">
      <c r="C865" s="96"/>
      <c r="F865" s="96"/>
    </row>
    <row r="866" ht="12.75" customHeight="1">
      <c r="C866" s="96"/>
      <c r="F866" s="96"/>
    </row>
    <row r="867" ht="12.75" customHeight="1">
      <c r="C867" s="96"/>
      <c r="F867" s="96"/>
    </row>
    <row r="868" ht="12.75" customHeight="1">
      <c r="C868" s="96"/>
      <c r="F868" s="96"/>
    </row>
    <row r="869" ht="12.75" customHeight="1">
      <c r="C869" s="96"/>
      <c r="F869" s="96"/>
    </row>
    <row r="870" ht="12.75" customHeight="1">
      <c r="C870" s="96"/>
      <c r="F870" s="96"/>
    </row>
    <row r="871" ht="12.75" customHeight="1">
      <c r="C871" s="96"/>
      <c r="F871" s="96"/>
    </row>
    <row r="872" ht="12.75" customHeight="1">
      <c r="C872" s="96"/>
      <c r="F872" s="96"/>
    </row>
    <row r="873" ht="12.75" customHeight="1">
      <c r="C873" s="96"/>
      <c r="F873" s="96"/>
    </row>
    <row r="874" ht="12.75" customHeight="1">
      <c r="C874" s="96"/>
      <c r="F874" s="96"/>
    </row>
    <row r="875" ht="12.75" customHeight="1">
      <c r="C875" s="96"/>
      <c r="F875" s="96"/>
    </row>
    <row r="876" ht="12.75" customHeight="1">
      <c r="C876" s="96"/>
      <c r="F876" s="96"/>
    </row>
    <row r="877" ht="12.75" customHeight="1">
      <c r="C877" s="96"/>
      <c r="F877" s="96"/>
    </row>
    <row r="878" ht="12.75" customHeight="1">
      <c r="C878" s="96"/>
      <c r="F878" s="96"/>
    </row>
    <row r="879" ht="12.75" customHeight="1">
      <c r="C879" s="96"/>
      <c r="F879" s="96"/>
    </row>
    <row r="880" ht="12.75" customHeight="1">
      <c r="C880" s="96"/>
      <c r="F880" s="96"/>
    </row>
    <row r="881" ht="12.75" customHeight="1">
      <c r="C881" s="96"/>
      <c r="F881" s="96"/>
    </row>
    <row r="882" ht="12.75" customHeight="1">
      <c r="C882" s="96"/>
      <c r="F882" s="96"/>
    </row>
    <row r="883" ht="12.75" customHeight="1">
      <c r="C883" s="96"/>
      <c r="F883" s="96"/>
    </row>
    <row r="884" ht="12.75" customHeight="1">
      <c r="C884" s="96"/>
      <c r="F884" s="96"/>
    </row>
    <row r="885" ht="12.75" customHeight="1">
      <c r="C885" s="96"/>
      <c r="F885" s="96"/>
    </row>
    <row r="886" ht="12.75" customHeight="1">
      <c r="C886" s="96"/>
      <c r="F886" s="96"/>
    </row>
    <row r="887" ht="12.75" customHeight="1">
      <c r="C887" s="96"/>
      <c r="F887" s="96"/>
    </row>
    <row r="888" ht="12.75" customHeight="1">
      <c r="C888" s="96"/>
      <c r="F888" s="96"/>
    </row>
    <row r="889" ht="12.75" customHeight="1">
      <c r="C889" s="96"/>
      <c r="F889" s="96"/>
    </row>
    <row r="890" ht="12.75" customHeight="1">
      <c r="C890" s="96"/>
      <c r="F890" s="96"/>
    </row>
    <row r="891" ht="12.75" customHeight="1">
      <c r="C891" s="96"/>
      <c r="F891" s="96"/>
    </row>
    <row r="892" ht="12.75" customHeight="1">
      <c r="C892" s="96"/>
      <c r="F892" s="96"/>
    </row>
    <row r="893" ht="12.75" customHeight="1">
      <c r="C893" s="96"/>
      <c r="F893" s="96"/>
    </row>
    <row r="894" ht="12.75" customHeight="1">
      <c r="C894" s="96"/>
      <c r="F894" s="96"/>
    </row>
    <row r="895" ht="12.75" customHeight="1">
      <c r="C895" s="96"/>
      <c r="F895" s="96"/>
    </row>
    <row r="896" ht="12.75" customHeight="1">
      <c r="C896" s="96"/>
      <c r="F896" s="96"/>
    </row>
    <row r="897" ht="12.75" customHeight="1">
      <c r="C897" s="96"/>
      <c r="F897" s="96"/>
    </row>
    <row r="898" ht="12.75" customHeight="1">
      <c r="C898" s="96"/>
      <c r="F898" s="96"/>
    </row>
    <row r="899" ht="12.75" customHeight="1">
      <c r="C899" s="96"/>
      <c r="F899" s="96"/>
    </row>
    <row r="900" ht="12.75" customHeight="1">
      <c r="C900" s="96"/>
      <c r="F900" s="96"/>
    </row>
    <row r="901" ht="12.75" customHeight="1">
      <c r="C901" s="96"/>
      <c r="F901" s="96"/>
    </row>
    <row r="902" ht="12.75" customHeight="1">
      <c r="C902" s="96"/>
      <c r="F902" s="96"/>
    </row>
    <row r="903" ht="12.75" customHeight="1">
      <c r="C903" s="96"/>
      <c r="F903" s="96"/>
    </row>
    <row r="904" ht="12.75" customHeight="1">
      <c r="C904" s="96"/>
      <c r="F904" s="96"/>
    </row>
    <row r="905" ht="12.75" customHeight="1">
      <c r="C905" s="96"/>
      <c r="F905" s="96"/>
    </row>
    <row r="906" ht="12.75" customHeight="1">
      <c r="C906" s="96"/>
      <c r="F906" s="96"/>
    </row>
    <row r="907" ht="12.75" customHeight="1">
      <c r="C907" s="96"/>
      <c r="F907" s="96"/>
    </row>
    <row r="908" ht="12.75" customHeight="1">
      <c r="C908" s="96"/>
      <c r="F908" s="96"/>
    </row>
    <row r="909" ht="12.75" customHeight="1">
      <c r="C909" s="96"/>
      <c r="F909" s="96"/>
    </row>
    <row r="910" ht="12.75" customHeight="1">
      <c r="C910" s="96"/>
      <c r="F910" s="96"/>
    </row>
    <row r="911" ht="12.75" customHeight="1">
      <c r="C911" s="96"/>
      <c r="F911" s="96"/>
    </row>
    <row r="912" ht="12.75" customHeight="1">
      <c r="C912" s="96"/>
      <c r="F912" s="96"/>
    </row>
    <row r="913" ht="12.75" customHeight="1">
      <c r="C913" s="96"/>
      <c r="F913" s="96"/>
    </row>
    <row r="914" ht="12.75" customHeight="1">
      <c r="C914" s="96"/>
      <c r="F914" s="96"/>
    </row>
    <row r="915" ht="12.75" customHeight="1">
      <c r="C915" s="96"/>
      <c r="F915" s="96"/>
    </row>
    <row r="916" ht="12.75" customHeight="1">
      <c r="C916" s="96"/>
      <c r="F916" s="96"/>
    </row>
    <row r="917" ht="12.75" customHeight="1">
      <c r="C917" s="96"/>
      <c r="F917" s="96"/>
    </row>
    <row r="918" ht="12.75" customHeight="1">
      <c r="C918" s="96"/>
      <c r="F918" s="96"/>
    </row>
    <row r="919" ht="12.75" customHeight="1">
      <c r="C919" s="96"/>
      <c r="F919" s="96"/>
    </row>
    <row r="920" ht="12.75" customHeight="1">
      <c r="C920" s="96"/>
      <c r="F920" s="96"/>
    </row>
    <row r="921" ht="12.75" customHeight="1">
      <c r="C921" s="96"/>
      <c r="F921" s="96"/>
    </row>
    <row r="922" ht="12.75" customHeight="1">
      <c r="C922" s="96"/>
      <c r="F922" s="96"/>
    </row>
    <row r="923" ht="12.75" customHeight="1">
      <c r="C923" s="96"/>
      <c r="F923" s="96"/>
    </row>
    <row r="924" ht="12.75" customHeight="1">
      <c r="C924" s="96"/>
      <c r="F924" s="96"/>
    </row>
    <row r="925" ht="12.75" customHeight="1">
      <c r="C925" s="96"/>
      <c r="F925" s="96"/>
    </row>
    <row r="926" ht="12.75" customHeight="1">
      <c r="C926" s="96"/>
      <c r="F926" s="96"/>
    </row>
    <row r="927" ht="12.75" customHeight="1">
      <c r="C927" s="96"/>
      <c r="F927" s="96"/>
    </row>
    <row r="928" ht="12.75" customHeight="1">
      <c r="C928" s="96"/>
      <c r="F928" s="96"/>
    </row>
    <row r="929" ht="12.75" customHeight="1">
      <c r="C929" s="96"/>
      <c r="F929" s="96"/>
    </row>
    <row r="930" ht="12.75" customHeight="1">
      <c r="C930" s="96"/>
      <c r="F930" s="96"/>
    </row>
    <row r="931" ht="12.75" customHeight="1">
      <c r="C931" s="96"/>
      <c r="F931" s="96"/>
    </row>
    <row r="932" ht="12.75" customHeight="1">
      <c r="C932" s="96"/>
      <c r="F932" s="96"/>
    </row>
    <row r="933" ht="12.75" customHeight="1">
      <c r="C933" s="96"/>
      <c r="F933" s="96"/>
    </row>
    <row r="934" ht="12.75" customHeight="1">
      <c r="C934" s="96"/>
      <c r="F934" s="96"/>
    </row>
    <row r="935" ht="12.75" customHeight="1">
      <c r="C935" s="96"/>
      <c r="F935" s="96"/>
    </row>
    <row r="936" ht="12.75" customHeight="1">
      <c r="C936" s="96"/>
      <c r="F936" s="96"/>
    </row>
    <row r="937" ht="12.75" customHeight="1">
      <c r="C937" s="96"/>
      <c r="F937" s="96"/>
    </row>
    <row r="938" ht="12.75" customHeight="1">
      <c r="C938" s="96"/>
      <c r="F938" s="96"/>
    </row>
    <row r="939" ht="12.75" customHeight="1">
      <c r="C939" s="96"/>
      <c r="F939" s="96"/>
    </row>
    <row r="940" ht="12.75" customHeight="1">
      <c r="C940" s="96"/>
      <c r="F940" s="96"/>
    </row>
    <row r="941" ht="12.75" customHeight="1">
      <c r="C941" s="96"/>
      <c r="F941" s="96"/>
    </row>
    <row r="942" ht="12.75" customHeight="1">
      <c r="C942" s="96"/>
      <c r="F942" s="96"/>
    </row>
    <row r="943" ht="12.75" customHeight="1">
      <c r="C943" s="96"/>
      <c r="F943" s="96"/>
    </row>
    <row r="944" ht="12.75" customHeight="1">
      <c r="C944" s="96"/>
      <c r="F944" s="96"/>
    </row>
    <row r="945" ht="12.75" customHeight="1">
      <c r="C945" s="96"/>
      <c r="F945" s="96"/>
    </row>
    <row r="946" ht="12.75" customHeight="1">
      <c r="C946" s="96"/>
      <c r="F946" s="96"/>
    </row>
    <row r="947" ht="12.75" customHeight="1">
      <c r="C947" s="96"/>
      <c r="F947" s="96"/>
    </row>
    <row r="948" ht="12.75" customHeight="1">
      <c r="C948" s="96"/>
      <c r="F948" s="96"/>
    </row>
    <row r="949" ht="12.75" customHeight="1">
      <c r="C949" s="96"/>
      <c r="F949" s="96"/>
    </row>
    <row r="950" ht="12.75" customHeight="1">
      <c r="C950" s="96"/>
      <c r="F950" s="96"/>
    </row>
    <row r="951" ht="12.75" customHeight="1">
      <c r="C951" s="96"/>
      <c r="F951" s="96"/>
    </row>
    <row r="952" ht="12.75" customHeight="1">
      <c r="C952" s="96"/>
      <c r="F952" s="96"/>
    </row>
    <row r="953" ht="12.75" customHeight="1">
      <c r="C953" s="96"/>
      <c r="F953" s="96"/>
    </row>
    <row r="954" ht="12.75" customHeight="1">
      <c r="C954" s="96"/>
      <c r="F954" s="96"/>
    </row>
    <row r="955" ht="12.75" customHeight="1">
      <c r="C955" s="96"/>
      <c r="F955" s="96"/>
    </row>
    <row r="956" ht="12.75" customHeight="1">
      <c r="C956" s="96"/>
      <c r="F956" s="96"/>
    </row>
    <row r="957" ht="12.75" customHeight="1">
      <c r="C957" s="96"/>
      <c r="F957" s="96"/>
    </row>
    <row r="958" ht="12.75" customHeight="1">
      <c r="C958" s="96"/>
      <c r="F958" s="96"/>
    </row>
    <row r="959" ht="12.75" customHeight="1">
      <c r="C959" s="96"/>
      <c r="F959" s="96"/>
    </row>
    <row r="960" ht="12.75" customHeight="1">
      <c r="C960" s="96"/>
      <c r="F960" s="96"/>
    </row>
    <row r="961" ht="12.75" customHeight="1">
      <c r="C961" s="96"/>
      <c r="F961" s="96"/>
    </row>
    <row r="962" ht="12.75" customHeight="1">
      <c r="C962" s="96"/>
      <c r="F962" s="96"/>
    </row>
    <row r="963" ht="12.75" customHeight="1">
      <c r="C963" s="96"/>
      <c r="F963" s="96"/>
    </row>
    <row r="964" ht="12.75" customHeight="1">
      <c r="C964" s="96"/>
      <c r="F964" s="96"/>
    </row>
    <row r="965" ht="12.75" customHeight="1">
      <c r="C965" s="96"/>
      <c r="F965" s="96"/>
    </row>
    <row r="966" ht="12.75" customHeight="1">
      <c r="C966" s="96"/>
      <c r="F966" s="96"/>
    </row>
    <row r="967" ht="12.75" customHeight="1">
      <c r="C967" s="96"/>
      <c r="F967" s="96"/>
    </row>
    <row r="968" ht="12.75" customHeight="1">
      <c r="C968" s="96"/>
      <c r="F968" s="96"/>
    </row>
    <row r="969" ht="12.75" customHeight="1">
      <c r="C969" s="96"/>
      <c r="F969" s="96"/>
    </row>
    <row r="970" ht="12.75" customHeight="1">
      <c r="C970" s="96"/>
      <c r="F970" s="96"/>
    </row>
    <row r="971" ht="12.75" customHeight="1">
      <c r="C971" s="96"/>
      <c r="F971" s="96"/>
    </row>
    <row r="972" ht="12.75" customHeight="1">
      <c r="C972" s="96"/>
      <c r="F972" s="96"/>
    </row>
    <row r="973" ht="12.75" customHeight="1">
      <c r="C973" s="96"/>
      <c r="F973" s="96"/>
    </row>
    <row r="974" ht="12.75" customHeight="1">
      <c r="C974" s="96"/>
      <c r="F974" s="96"/>
    </row>
    <row r="975" ht="12.75" customHeight="1">
      <c r="C975" s="96"/>
      <c r="F975" s="96"/>
    </row>
    <row r="976" ht="12.75" customHeight="1">
      <c r="C976" s="96"/>
      <c r="F976" s="96"/>
    </row>
    <row r="977" ht="12.75" customHeight="1">
      <c r="C977" s="96"/>
      <c r="F977" s="96"/>
    </row>
    <row r="978" ht="12.75" customHeight="1">
      <c r="C978" s="96"/>
      <c r="F978" s="96"/>
    </row>
    <row r="979" ht="12.75" customHeight="1">
      <c r="C979" s="96"/>
      <c r="F979" s="96"/>
    </row>
    <row r="980" ht="12.75" customHeight="1">
      <c r="C980" s="96"/>
      <c r="F980" s="96"/>
    </row>
    <row r="981" ht="12.75" customHeight="1">
      <c r="C981" s="96"/>
      <c r="F981" s="96"/>
    </row>
    <row r="982" ht="12.75" customHeight="1">
      <c r="C982" s="96"/>
      <c r="F982" s="96"/>
    </row>
    <row r="983" ht="12.75" customHeight="1">
      <c r="C983" s="96"/>
      <c r="F983" s="96"/>
    </row>
    <row r="984" ht="12.75" customHeight="1">
      <c r="C984" s="96"/>
      <c r="F984" s="96"/>
    </row>
    <row r="985" ht="12.75" customHeight="1">
      <c r="C985" s="96"/>
      <c r="F985" s="96"/>
    </row>
    <row r="986" ht="12.75" customHeight="1">
      <c r="C986" s="96"/>
      <c r="F986" s="96"/>
    </row>
    <row r="987" ht="12.75" customHeight="1">
      <c r="C987" s="96"/>
      <c r="F987" s="96"/>
    </row>
    <row r="988" ht="12.75" customHeight="1">
      <c r="C988" s="96"/>
      <c r="F988" s="96"/>
    </row>
    <row r="989" ht="12.75" customHeight="1">
      <c r="C989" s="96"/>
      <c r="F989" s="96"/>
    </row>
    <row r="990" ht="12.75" customHeight="1">
      <c r="C990" s="96"/>
      <c r="F990" s="96"/>
    </row>
    <row r="991" ht="12.75" customHeight="1">
      <c r="C991" s="96"/>
      <c r="F991" s="96"/>
    </row>
    <row r="992" ht="12.75" customHeight="1">
      <c r="C992" s="96"/>
      <c r="F992" s="96"/>
    </row>
    <row r="993" ht="12.75" customHeight="1">
      <c r="C993" s="96"/>
      <c r="F993" s="96"/>
    </row>
    <row r="994" ht="12.75" customHeight="1">
      <c r="C994" s="96"/>
      <c r="F994" s="96"/>
    </row>
    <row r="995" ht="12.75" customHeight="1">
      <c r="C995" s="96"/>
      <c r="F995" s="96"/>
    </row>
    <row r="996" ht="12.75" customHeight="1">
      <c r="C996" s="96"/>
      <c r="F996" s="96"/>
    </row>
    <row r="997" ht="12.75" customHeight="1">
      <c r="C997" s="96"/>
      <c r="F997" s="96"/>
    </row>
    <row r="998" ht="12.75" customHeight="1">
      <c r="C998" s="96"/>
      <c r="F998" s="96"/>
    </row>
    <row r="999" ht="12.75" customHeight="1">
      <c r="C999" s="96"/>
      <c r="F999" s="96"/>
    </row>
    <row r="1000" ht="12.75" customHeight="1">
      <c r="C1000" s="96"/>
      <c r="F1000" s="96"/>
    </row>
    <row r="1001" ht="12.75" customHeight="1">
      <c r="C1001" s="96"/>
      <c r="F1001" s="96"/>
    </row>
    <row r="1002" ht="12.75" customHeight="1">
      <c r="C1002" s="96"/>
      <c r="F1002" s="9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82.13"/>
    <col customWidth="1" min="7" max="26" width="7.63"/>
  </cols>
  <sheetData>
    <row r="1" ht="14.25" customHeight="1">
      <c r="A1" s="95" t="s">
        <v>796</v>
      </c>
      <c r="F1" s="96"/>
    </row>
    <row r="2" ht="14.25" customHeight="1">
      <c r="A2" s="95" t="s">
        <v>797</v>
      </c>
      <c r="F2" s="96"/>
    </row>
    <row r="3" ht="14.25" customHeight="1">
      <c r="A3" s="95" t="s">
        <v>33</v>
      </c>
      <c r="B3" s="95" t="s">
        <v>38</v>
      </c>
      <c r="C3" s="95" t="s">
        <v>42</v>
      </c>
      <c r="D3" s="95" t="s">
        <v>48</v>
      </c>
      <c r="F3" s="96"/>
    </row>
    <row r="4" ht="12.75" customHeight="1">
      <c r="A4" s="113">
        <v>3.0</v>
      </c>
      <c r="B4" s="113">
        <v>3.0</v>
      </c>
      <c r="C4" s="113">
        <v>3.0</v>
      </c>
      <c r="D4" s="113">
        <v>3.0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1.0</v>
      </c>
      <c r="C8" s="114">
        <v>2.0</v>
      </c>
      <c r="D8" s="114">
        <v>3.0</v>
      </c>
      <c r="E8" s="114">
        <v>4.0</v>
      </c>
      <c r="F8" s="114">
        <v>5.0</v>
      </c>
      <c r="G8" s="114">
        <v>6.0</v>
      </c>
      <c r="H8" s="114">
        <v>7.0</v>
      </c>
      <c r="I8" s="114">
        <v>8.0</v>
      </c>
      <c r="J8" s="114">
        <v>9.0</v>
      </c>
      <c r="K8" s="96">
        <v>10.0</v>
      </c>
    </row>
    <row r="9" ht="12.75" customHeight="1">
      <c r="A9" s="106" t="s">
        <v>17</v>
      </c>
      <c r="B9" s="114">
        <v>1.0</v>
      </c>
      <c r="C9" s="114">
        <v>2.0</v>
      </c>
      <c r="D9" s="114">
        <v>3.0</v>
      </c>
      <c r="E9" s="114">
        <v>4.0</v>
      </c>
      <c r="F9" s="114">
        <v>5.0</v>
      </c>
      <c r="G9" s="114">
        <v>6.0</v>
      </c>
      <c r="H9" s="114">
        <v>7.0</v>
      </c>
      <c r="I9" s="114">
        <v>8.0</v>
      </c>
      <c r="J9" s="114">
        <v>9.0</v>
      </c>
      <c r="K9" s="96">
        <v>10.0</v>
      </c>
    </row>
    <row r="10" ht="12.75" customHeight="1">
      <c r="A10" s="106" t="s">
        <v>22</v>
      </c>
      <c r="B10" s="114">
        <v>1.0</v>
      </c>
      <c r="C10" s="114">
        <v>2.0</v>
      </c>
      <c r="D10" s="114">
        <v>3.0</v>
      </c>
      <c r="E10" s="114">
        <v>4.0</v>
      </c>
      <c r="F10" s="114">
        <v>5.0</v>
      </c>
      <c r="G10" s="114">
        <v>6.0</v>
      </c>
      <c r="H10" s="114">
        <v>8.0</v>
      </c>
      <c r="I10" s="114">
        <v>10.0</v>
      </c>
      <c r="J10" s="114">
        <v>12.0</v>
      </c>
      <c r="K10" s="96">
        <v>14.0</v>
      </c>
    </row>
    <row r="11" ht="12.75" customHeight="1">
      <c r="A11" s="106" t="s">
        <v>27</v>
      </c>
      <c r="B11" s="114">
        <v>1.0</v>
      </c>
      <c r="C11" s="114">
        <v>2.0</v>
      </c>
      <c r="D11" s="114">
        <v>3.0</v>
      </c>
      <c r="E11" s="114">
        <v>4.0</v>
      </c>
      <c r="F11" s="114">
        <v>5.0</v>
      </c>
      <c r="G11" s="114">
        <v>6.0</v>
      </c>
      <c r="H11" s="114">
        <v>8.0</v>
      </c>
      <c r="I11" s="114">
        <v>10.0</v>
      </c>
      <c r="J11" s="114">
        <v>12.0</v>
      </c>
      <c r="K11" s="96">
        <v>14.0</v>
      </c>
    </row>
    <row r="12" ht="12.75" customHeight="1">
      <c r="A12" s="106" t="s">
        <v>31</v>
      </c>
      <c r="B12" s="114">
        <v>2.0</v>
      </c>
      <c r="C12" s="114">
        <v>4.0</v>
      </c>
      <c r="D12" s="114">
        <v>6.0</v>
      </c>
      <c r="E12" s="114">
        <v>8.0</v>
      </c>
      <c r="F12" s="114">
        <v>10.0</v>
      </c>
      <c r="G12" s="114">
        <v>12.0</v>
      </c>
      <c r="H12" s="114">
        <v>14.0</v>
      </c>
      <c r="I12" s="114">
        <v>16.0</v>
      </c>
      <c r="J12" s="114">
        <v>18.0</v>
      </c>
      <c r="K12" s="96">
        <v>20.0</v>
      </c>
    </row>
    <row r="13" ht="12.75" customHeight="1">
      <c r="A13" s="106" t="s">
        <v>35</v>
      </c>
      <c r="B13" s="114">
        <v>2.0</v>
      </c>
      <c r="C13" s="114">
        <v>4.0</v>
      </c>
      <c r="D13" s="114">
        <v>6.0</v>
      </c>
      <c r="E13" s="114">
        <v>8.0</v>
      </c>
      <c r="F13" s="114">
        <v>10.0</v>
      </c>
      <c r="G13" s="114">
        <v>11.0</v>
      </c>
      <c r="H13" s="114">
        <v>12.0</v>
      </c>
      <c r="I13" s="114">
        <v>13.0</v>
      </c>
      <c r="J13" s="114">
        <v>14.0</v>
      </c>
      <c r="K13" s="96">
        <v>15.0</v>
      </c>
    </row>
    <row r="14" ht="12.75" customHeight="1">
      <c r="A14" s="106" t="s">
        <v>40</v>
      </c>
      <c r="B14" s="114">
        <v>0.0</v>
      </c>
      <c r="C14" s="114">
        <v>0.0</v>
      </c>
      <c r="D14" s="114">
        <v>0.0</v>
      </c>
      <c r="E14" s="114">
        <v>0.0</v>
      </c>
      <c r="F14" s="114">
        <v>1.0</v>
      </c>
      <c r="G14" s="114">
        <v>1.0</v>
      </c>
      <c r="H14" s="114">
        <v>1.0</v>
      </c>
      <c r="I14" s="114">
        <v>1.0</v>
      </c>
      <c r="J14" s="114">
        <v>1.0</v>
      </c>
      <c r="K14" s="96">
        <v>1.0</v>
      </c>
    </row>
    <row r="15" ht="12.75" customHeight="1">
      <c r="F15" s="96"/>
    </row>
    <row r="16" ht="14.25" customHeight="1">
      <c r="A16" s="95" t="s">
        <v>798</v>
      </c>
      <c r="F16" s="96"/>
    </row>
    <row r="17" ht="14.25" customHeight="1">
      <c r="A17" s="95" t="s">
        <v>468</v>
      </c>
      <c r="F17" s="96"/>
    </row>
    <row r="18" ht="14.25" customHeight="1">
      <c r="A18" s="115" t="s">
        <v>799</v>
      </c>
      <c r="F18" s="96"/>
    </row>
    <row r="19" ht="12.75" customHeight="1">
      <c r="F19" s="96"/>
    </row>
    <row r="20" ht="14.25" customHeight="1">
      <c r="A20" s="95" t="s">
        <v>470</v>
      </c>
      <c r="F20" s="96"/>
    </row>
    <row r="21" ht="14.25" customHeight="1">
      <c r="A21" s="115" t="s">
        <v>577</v>
      </c>
      <c r="F21" s="96"/>
    </row>
    <row r="22" ht="12.75" customHeight="1">
      <c r="F22" s="96"/>
    </row>
    <row r="23" ht="14.25" customHeight="1">
      <c r="A23" s="95" t="s">
        <v>58</v>
      </c>
      <c r="B23" s="95" t="s">
        <v>37</v>
      </c>
      <c r="C23" s="95" t="s">
        <v>59</v>
      </c>
      <c r="D23" s="95" t="s">
        <v>60</v>
      </c>
      <c r="E23" s="95" t="s">
        <v>472</v>
      </c>
      <c r="F23" s="95" t="s">
        <v>54</v>
      </c>
    </row>
    <row r="24" ht="14.25" customHeight="1">
      <c r="A24" s="108" t="s">
        <v>800</v>
      </c>
      <c r="B24" s="95"/>
      <c r="C24" s="95"/>
      <c r="D24" s="95"/>
      <c r="E24" s="95"/>
      <c r="F24" s="95"/>
    </row>
    <row r="25" ht="14.25" customHeight="1">
      <c r="A25" s="95" t="s">
        <v>686</v>
      </c>
      <c r="F25" s="96"/>
    </row>
    <row r="26" ht="57.0" customHeight="1">
      <c r="A26" s="95" t="s">
        <v>801</v>
      </c>
      <c r="B26" s="95" t="s">
        <v>263</v>
      </c>
      <c r="C26" s="99" t="s">
        <v>264</v>
      </c>
      <c r="D26" s="96">
        <v>0.0</v>
      </c>
      <c r="E26" s="95" t="s">
        <v>448</v>
      </c>
      <c r="F26" s="100" t="s">
        <v>802</v>
      </c>
    </row>
    <row r="27" ht="14.25" customHeight="1">
      <c r="A27" s="95" t="s">
        <v>803</v>
      </c>
      <c r="B27" s="95" t="s">
        <v>263</v>
      </c>
      <c r="C27" s="99" t="s">
        <v>264</v>
      </c>
      <c r="D27" s="96">
        <v>0.0</v>
      </c>
      <c r="E27" s="95" t="s">
        <v>448</v>
      </c>
      <c r="F27" s="95" t="s">
        <v>804</v>
      </c>
    </row>
    <row r="28" ht="14.25" customHeight="1">
      <c r="A28" s="94" t="s">
        <v>805</v>
      </c>
      <c r="B28" s="94" t="s">
        <v>487</v>
      </c>
      <c r="C28" s="103" t="s">
        <v>626</v>
      </c>
      <c r="D28" s="104">
        <v>2.0</v>
      </c>
      <c r="E28" s="95" t="s">
        <v>448</v>
      </c>
      <c r="F28" s="94" t="s">
        <v>806</v>
      </c>
    </row>
    <row r="29" ht="14.25" customHeight="1">
      <c r="A29" s="94" t="s">
        <v>807</v>
      </c>
      <c r="B29" s="95" t="s">
        <v>263</v>
      </c>
      <c r="C29" s="99" t="s">
        <v>264</v>
      </c>
      <c r="D29" s="96">
        <v>0.0</v>
      </c>
      <c r="E29" s="95" t="s">
        <v>448</v>
      </c>
      <c r="F29" s="94" t="s">
        <v>808</v>
      </c>
    </row>
    <row r="30" ht="14.25" customHeight="1">
      <c r="A30" s="94" t="s">
        <v>809</v>
      </c>
      <c r="B30" s="95" t="s">
        <v>263</v>
      </c>
      <c r="C30" s="99" t="s">
        <v>264</v>
      </c>
      <c r="D30" s="96">
        <v>0.0</v>
      </c>
      <c r="E30" s="95" t="s">
        <v>448</v>
      </c>
      <c r="F30" s="94" t="s">
        <v>810</v>
      </c>
    </row>
    <row r="31" ht="14.25" customHeight="1">
      <c r="A31" s="94" t="s">
        <v>811</v>
      </c>
      <c r="B31" s="95" t="s">
        <v>263</v>
      </c>
      <c r="C31" s="99" t="s">
        <v>264</v>
      </c>
      <c r="D31" s="96">
        <v>0.0</v>
      </c>
      <c r="E31" s="95" t="s">
        <v>448</v>
      </c>
      <c r="F31" s="94" t="s">
        <v>812</v>
      </c>
    </row>
    <row r="32" ht="14.25" customHeight="1">
      <c r="A32" s="95" t="s">
        <v>813</v>
      </c>
      <c r="B32" s="95" t="s">
        <v>263</v>
      </c>
      <c r="C32" s="99" t="s">
        <v>264</v>
      </c>
      <c r="D32" s="96">
        <v>0.0</v>
      </c>
      <c r="E32" s="95" t="s">
        <v>448</v>
      </c>
      <c r="F32" s="95" t="s">
        <v>814</v>
      </c>
    </row>
    <row r="33" ht="14.25" customHeight="1">
      <c r="A33" s="95" t="s">
        <v>815</v>
      </c>
      <c r="B33" s="95" t="s">
        <v>816</v>
      </c>
      <c r="C33" s="99" t="s">
        <v>264</v>
      </c>
      <c r="D33" s="96">
        <v>0.0</v>
      </c>
      <c r="E33" s="95" t="s">
        <v>448</v>
      </c>
      <c r="F33" s="95" t="s">
        <v>817</v>
      </c>
    </row>
    <row r="34" ht="14.25" customHeight="1">
      <c r="A34" s="95" t="s">
        <v>818</v>
      </c>
      <c r="B34" s="95" t="s">
        <v>816</v>
      </c>
      <c r="C34" s="95" t="s">
        <v>819</v>
      </c>
      <c r="D34" s="96">
        <v>2.0</v>
      </c>
      <c r="E34" s="95" t="s">
        <v>448</v>
      </c>
      <c r="F34" s="95" t="s">
        <v>820</v>
      </c>
    </row>
    <row r="35" ht="14.25" customHeight="1">
      <c r="A35" s="95" t="s">
        <v>821</v>
      </c>
      <c r="B35" s="95" t="s">
        <v>822</v>
      </c>
      <c r="C35" s="95" t="s">
        <v>823</v>
      </c>
      <c r="D35" s="96">
        <v>0.0</v>
      </c>
      <c r="E35" s="95" t="s">
        <v>448</v>
      </c>
      <c r="F35" s="95" t="s">
        <v>824</v>
      </c>
    </row>
    <row r="36" ht="14.25" customHeight="1">
      <c r="A36" s="95" t="s">
        <v>825</v>
      </c>
      <c r="B36" s="95" t="s">
        <v>321</v>
      </c>
      <c r="C36" s="95" t="s">
        <v>826</v>
      </c>
      <c r="D36" s="96">
        <v>0.0</v>
      </c>
      <c r="E36" s="95" t="s">
        <v>448</v>
      </c>
      <c r="F36" s="95" t="s">
        <v>827</v>
      </c>
    </row>
    <row r="37" ht="14.25" customHeight="1">
      <c r="A37" s="95" t="s">
        <v>828</v>
      </c>
      <c r="B37" s="95" t="s">
        <v>634</v>
      </c>
      <c r="C37" s="99" t="s">
        <v>264</v>
      </c>
      <c r="D37" s="96">
        <v>0.0</v>
      </c>
      <c r="E37" s="95" t="s">
        <v>448</v>
      </c>
      <c r="F37" s="95" t="s">
        <v>829</v>
      </c>
    </row>
    <row r="38" ht="14.25" customHeight="1">
      <c r="A38" s="95" t="s">
        <v>830</v>
      </c>
      <c r="B38" s="95" t="s">
        <v>321</v>
      </c>
      <c r="C38" s="95" t="s">
        <v>831</v>
      </c>
      <c r="D38" s="96">
        <v>0.0</v>
      </c>
      <c r="E38" s="95" t="s">
        <v>448</v>
      </c>
      <c r="F38" s="95" t="s">
        <v>832</v>
      </c>
    </row>
    <row r="39" ht="28.5" customHeight="1">
      <c r="A39" s="95" t="s">
        <v>833</v>
      </c>
      <c r="B39" s="95" t="s">
        <v>321</v>
      </c>
      <c r="C39" s="95" t="s">
        <v>834</v>
      </c>
      <c r="D39" s="96">
        <v>0.0</v>
      </c>
      <c r="E39" s="95" t="s">
        <v>448</v>
      </c>
      <c r="F39" s="100" t="s">
        <v>835</v>
      </c>
    </row>
    <row r="40" ht="14.25" customHeight="1">
      <c r="A40" s="95" t="s">
        <v>836</v>
      </c>
      <c r="B40" s="95" t="s">
        <v>321</v>
      </c>
      <c r="C40" s="95" t="s">
        <v>837</v>
      </c>
      <c r="D40" s="96">
        <v>0.0</v>
      </c>
      <c r="E40" s="95" t="s">
        <v>448</v>
      </c>
      <c r="F40" s="95" t="s">
        <v>838</v>
      </c>
    </row>
    <row r="41" ht="14.25" customHeight="1">
      <c r="A41" s="94" t="s">
        <v>839</v>
      </c>
      <c r="B41" s="95" t="s">
        <v>321</v>
      </c>
      <c r="C41" s="95" t="s">
        <v>840</v>
      </c>
      <c r="D41" s="96">
        <v>0.0</v>
      </c>
      <c r="E41" s="95" t="s">
        <v>448</v>
      </c>
      <c r="F41" s="94" t="s">
        <v>841</v>
      </c>
    </row>
    <row r="42" ht="14.25" customHeight="1">
      <c r="A42" s="94" t="s">
        <v>842</v>
      </c>
      <c r="B42" s="95" t="s">
        <v>321</v>
      </c>
      <c r="C42" s="95" t="s">
        <v>843</v>
      </c>
      <c r="D42" s="96">
        <v>0.0</v>
      </c>
      <c r="E42" s="95" t="s">
        <v>448</v>
      </c>
      <c r="F42" s="94" t="s">
        <v>844</v>
      </c>
    </row>
    <row r="43" ht="14.25" customHeight="1">
      <c r="A43" s="95" t="s">
        <v>845</v>
      </c>
      <c r="B43" s="95" t="s">
        <v>321</v>
      </c>
      <c r="C43" s="95" t="s">
        <v>846</v>
      </c>
      <c r="D43" s="96">
        <v>0.0</v>
      </c>
      <c r="E43" s="95" t="s">
        <v>448</v>
      </c>
      <c r="F43" s="95" t="s">
        <v>847</v>
      </c>
    </row>
    <row r="44" ht="14.25" customHeight="1">
      <c r="A44" s="95" t="s">
        <v>848</v>
      </c>
      <c r="F44" s="96"/>
    </row>
    <row r="45" ht="14.25" customHeight="1">
      <c r="A45" s="95" t="s">
        <v>849</v>
      </c>
      <c r="B45" s="95" t="s">
        <v>321</v>
      </c>
      <c r="C45" s="95" t="s">
        <v>850</v>
      </c>
      <c r="D45" s="96">
        <v>0.0</v>
      </c>
      <c r="E45" s="95" t="s">
        <v>851</v>
      </c>
      <c r="F45" s="95" t="s">
        <v>852</v>
      </c>
    </row>
    <row r="46" ht="14.25" customHeight="1">
      <c r="A46" s="95" t="s">
        <v>853</v>
      </c>
      <c r="B46" s="95" t="s">
        <v>816</v>
      </c>
      <c r="C46" s="95" t="s">
        <v>639</v>
      </c>
      <c r="D46" s="96">
        <v>0.0</v>
      </c>
      <c r="E46" s="95" t="s">
        <v>854</v>
      </c>
      <c r="F46" s="95" t="s">
        <v>855</v>
      </c>
    </row>
    <row r="47" ht="14.25" customHeight="1">
      <c r="A47" s="95" t="s">
        <v>856</v>
      </c>
      <c r="B47" s="95" t="s">
        <v>263</v>
      </c>
      <c r="C47" s="99" t="s">
        <v>264</v>
      </c>
      <c r="D47" s="96">
        <v>0.0</v>
      </c>
      <c r="E47" s="95" t="s">
        <v>857</v>
      </c>
      <c r="F47" s="95" t="s">
        <v>858</v>
      </c>
    </row>
    <row r="48" ht="384.75" customHeight="1">
      <c r="A48" s="95" t="s">
        <v>859</v>
      </c>
      <c r="B48" s="95" t="s">
        <v>263</v>
      </c>
      <c r="C48" s="99" t="s">
        <v>264</v>
      </c>
      <c r="D48" s="96">
        <v>0.0</v>
      </c>
      <c r="E48" s="95" t="s">
        <v>860</v>
      </c>
      <c r="F48" s="100" t="s">
        <v>861</v>
      </c>
    </row>
    <row r="49" ht="14.25" customHeight="1">
      <c r="A49" s="95" t="s">
        <v>862</v>
      </c>
      <c r="B49" s="95" t="s">
        <v>816</v>
      </c>
      <c r="C49" s="95" t="s">
        <v>863</v>
      </c>
      <c r="D49" s="96">
        <v>0.0</v>
      </c>
      <c r="E49" s="95" t="s">
        <v>864</v>
      </c>
      <c r="F49" s="95" t="s">
        <v>865</v>
      </c>
    </row>
    <row r="50" ht="14.25" customHeight="1">
      <c r="A50" s="95" t="s">
        <v>866</v>
      </c>
      <c r="B50" s="95" t="s">
        <v>263</v>
      </c>
      <c r="C50" s="99" t="s">
        <v>264</v>
      </c>
      <c r="D50" s="96">
        <v>0.0</v>
      </c>
      <c r="E50" s="95" t="s">
        <v>867</v>
      </c>
      <c r="F50" s="95" t="s">
        <v>868</v>
      </c>
    </row>
    <row r="51" ht="12.75" customHeight="1">
      <c r="A51" s="97" t="s">
        <v>869</v>
      </c>
      <c r="B51" s="97" t="s">
        <v>481</v>
      </c>
      <c r="C51" s="97" t="s">
        <v>870</v>
      </c>
      <c r="D51" s="110">
        <v>0.0</v>
      </c>
      <c r="E51" s="97" t="s">
        <v>803</v>
      </c>
      <c r="F51" s="104" t="s">
        <v>871</v>
      </c>
    </row>
    <row r="52" ht="12.75" customHeight="1">
      <c r="A52" s="97" t="s">
        <v>872</v>
      </c>
      <c r="B52" s="97" t="s">
        <v>481</v>
      </c>
      <c r="C52" s="97" t="s">
        <v>522</v>
      </c>
      <c r="D52" s="110">
        <v>0.0</v>
      </c>
      <c r="E52" s="97" t="s">
        <v>869</v>
      </c>
      <c r="F52" s="104" t="s">
        <v>873</v>
      </c>
    </row>
    <row r="53" ht="12.75" customHeight="1">
      <c r="A53" s="97" t="s">
        <v>874</v>
      </c>
      <c r="B53" s="95" t="s">
        <v>263</v>
      </c>
      <c r="C53" s="99" t="s">
        <v>264</v>
      </c>
      <c r="D53" s="96">
        <v>0.0</v>
      </c>
      <c r="E53" s="97" t="s">
        <v>875</v>
      </c>
      <c r="F53" s="104" t="s">
        <v>876</v>
      </c>
    </row>
    <row r="54" ht="12.75" customHeight="1">
      <c r="A54" s="97" t="s">
        <v>877</v>
      </c>
      <c r="B54" s="97" t="s">
        <v>484</v>
      </c>
      <c r="C54" s="99" t="s">
        <v>264</v>
      </c>
      <c r="D54" s="96">
        <v>0.0</v>
      </c>
      <c r="E54" s="110" t="s">
        <v>878</v>
      </c>
      <c r="F54" s="104" t="s">
        <v>879</v>
      </c>
    </row>
    <row r="55" ht="12.75" customHeight="1">
      <c r="A55" s="97" t="s">
        <v>880</v>
      </c>
      <c r="B55" s="95" t="s">
        <v>263</v>
      </c>
      <c r="C55" s="99" t="s">
        <v>264</v>
      </c>
      <c r="D55" s="96">
        <v>0.0</v>
      </c>
      <c r="E55" s="110" t="s">
        <v>881</v>
      </c>
      <c r="F55" s="110" t="s">
        <v>882</v>
      </c>
    </row>
    <row r="56" ht="12.75" customHeight="1">
      <c r="A56" s="97" t="s">
        <v>883</v>
      </c>
      <c r="B56" s="95" t="s">
        <v>263</v>
      </c>
      <c r="C56" s="99" t="s">
        <v>264</v>
      </c>
      <c r="D56" s="96">
        <v>0.0</v>
      </c>
      <c r="E56" s="110" t="s">
        <v>884</v>
      </c>
      <c r="F56" s="110" t="s">
        <v>885</v>
      </c>
    </row>
    <row r="57" ht="12.75" customHeight="1">
      <c r="A57" s="97" t="s">
        <v>886</v>
      </c>
      <c r="B57" s="95" t="s">
        <v>263</v>
      </c>
      <c r="C57" s="99" t="s">
        <v>264</v>
      </c>
      <c r="D57" s="96">
        <v>0.0</v>
      </c>
      <c r="E57" s="110" t="s">
        <v>887</v>
      </c>
      <c r="F57" s="104" t="s">
        <v>888</v>
      </c>
    </row>
    <row r="58" ht="12.75" customHeight="1">
      <c r="A58" s="97" t="s">
        <v>889</v>
      </c>
      <c r="B58" s="110" t="s">
        <v>487</v>
      </c>
      <c r="C58" s="110" t="s">
        <v>890</v>
      </c>
      <c r="D58" s="96">
        <v>0.0</v>
      </c>
      <c r="E58" s="110" t="s">
        <v>891</v>
      </c>
      <c r="F58" s="104" t="s">
        <v>892</v>
      </c>
    </row>
    <row r="59" ht="12.75" customHeight="1">
      <c r="A59" s="97" t="s">
        <v>893</v>
      </c>
      <c r="B59" s="110" t="s">
        <v>487</v>
      </c>
      <c r="C59" s="110" t="s">
        <v>497</v>
      </c>
      <c r="D59" s="96">
        <v>0.0</v>
      </c>
      <c r="E59" s="110" t="s">
        <v>894</v>
      </c>
      <c r="F59" s="104" t="s">
        <v>895</v>
      </c>
    </row>
    <row r="60" ht="12.75" customHeight="1">
      <c r="A60" s="97" t="s">
        <v>896</v>
      </c>
      <c r="B60" s="110" t="s">
        <v>487</v>
      </c>
      <c r="C60" s="110" t="s">
        <v>897</v>
      </c>
      <c r="D60" s="96">
        <v>0.0</v>
      </c>
      <c r="E60" s="97" t="s">
        <v>898</v>
      </c>
      <c r="F60" s="104" t="s">
        <v>899</v>
      </c>
    </row>
    <row r="61" ht="12.75" customHeight="1">
      <c r="A61" s="97" t="s">
        <v>900</v>
      </c>
      <c r="B61" s="110" t="s">
        <v>487</v>
      </c>
      <c r="C61" s="110" t="s">
        <v>264</v>
      </c>
      <c r="D61" s="96">
        <v>0.0</v>
      </c>
      <c r="E61" s="97" t="s">
        <v>901</v>
      </c>
      <c r="F61" s="104" t="s">
        <v>902</v>
      </c>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row r="1001" ht="12.75" customHeight="1">
      <c r="F1001" s="96"/>
    </row>
    <row r="1002" ht="12.75" customHeight="1">
      <c r="F1002" s="96"/>
    </row>
    <row r="1003" ht="12.75" customHeight="1">
      <c r="F1003" s="96"/>
    </row>
    <row r="1004" ht="12.75" customHeight="1">
      <c r="F1004" s="96"/>
    </row>
    <row r="1005" ht="12.75" customHeight="1">
      <c r="F1005" s="96"/>
    </row>
    <row r="1006" ht="12.75" customHeight="1">
      <c r="F1006" s="9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85.63"/>
    <col customWidth="1" min="7" max="26" width="7.63"/>
  </cols>
  <sheetData>
    <row r="1" ht="14.25" customHeight="1">
      <c r="A1" s="95" t="s">
        <v>903</v>
      </c>
      <c r="F1" s="96"/>
    </row>
    <row r="2" ht="14.25" customHeight="1">
      <c r="A2" s="95" t="s">
        <v>904</v>
      </c>
      <c r="F2" s="96"/>
    </row>
    <row r="3" ht="14.25" customHeight="1">
      <c r="A3" s="95" t="s">
        <v>33</v>
      </c>
      <c r="B3" s="95" t="s">
        <v>38</v>
      </c>
      <c r="C3" s="95" t="s">
        <v>42</v>
      </c>
      <c r="D3" s="95" t="s">
        <v>48</v>
      </c>
      <c r="F3" s="96"/>
    </row>
    <row r="4" ht="12.75" customHeight="1">
      <c r="A4" s="118">
        <v>2.0</v>
      </c>
      <c r="B4" s="118">
        <v>2.0</v>
      </c>
      <c r="C4" s="118">
        <v>2.0</v>
      </c>
      <c r="D4" s="118">
        <v>2.0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0.0</v>
      </c>
      <c r="C8" s="114">
        <v>0.0</v>
      </c>
      <c r="D8" s="114">
        <v>0.0</v>
      </c>
      <c r="E8" s="114">
        <v>0.0</v>
      </c>
      <c r="F8" s="114">
        <v>0.0</v>
      </c>
      <c r="G8" s="114">
        <v>0.0</v>
      </c>
      <c r="H8" s="114">
        <v>0.0</v>
      </c>
      <c r="I8" s="114">
        <v>0.0</v>
      </c>
      <c r="J8" s="114">
        <v>0.0</v>
      </c>
      <c r="K8" s="96">
        <v>1.0</v>
      </c>
    </row>
    <row r="9" ht="12.75" customHeight="1">
      <c r="A9" s="106" t="s">
        <v>17</v>
      </c>
      <c r="B9" s="114">
        <v>0.0</v>
      </c>
      <c r="C9" s="114">
        <v>0.0</v>
      </c>
      <c r="D9" s="114">
        <v>0.0</v>
      </c>
      <c r="E9" s="114">
        <v>0.0</v>
      </c>
      <c r="F9" s="114">
        <v>0.0</v>
      </c>
      <c r="G9" s="114">
        <v>0.0</v>
      </c>
      <c r="H9" s="114">
        <v>0.0</v>
      </c>
      <c r="I9" s="114">
        <v>0.0</v>
      </c>
      <c r="J9" s="114">
        <v>0.0</v>
      </c>
      <c r="K9" s="96">
        <v>1.0</v>
      </c>
    </row>
    <row r="10" ht="12.75" customHeight="1">
      <c r="A10" s="106" t="s">
        <v>22</v>
      </c>
      <c r="B10" s="114">
        <v>1.0</v>
      </c>
      <c r="C10" s="114">
        <v>2.0</v>
      </c>
      <c r="D10" s="114">
        <v>3.0</v>
      </c>
      <c r="E10" s="114">
        <v>4.0</v>
      </c>
      <c r="F10" s="114">
        <v>6.0</v>
      </c>
      <c r="G10" s="114">
        <v>8.0</v>
      </c>
      <c r="H10" s="114">
        <v>10.0</v>
      </c>
      <c r="I10" s="114">
        <v>12.0</v>
      </c>
      <c r="J10" s="114">
        <v>14.0</v>
      </c>
      <c r="K10" s="96">
        <v>16.0</v>
      </c>
    </row>
    <row r="11" ht="12.75" customHeight="1">
      <c r="A11" s="106" t="s">
        <v>27</v>
      </c>
      <c r="B11" s="114">
        <v>0.0</v>
      </c>
      <c r="C11" s="114">
        <v>0.0</v>
      </c>
      <c r="D11" s="114">
        <v>0.0</v>
      </c>
      <c r="E11" s="114">
        <v>0.0</v>
      </c>
      <c r="F11" s="114">
        <v>0.0</v>
      </c>
      <c r="G11" s="114">
        <v>0.0</v>
      </c>
      <c r="H11" s="114">
        <v>0.0</v>
      </c>
      <c r="I11" s="114">
        <v>0.0</v>
      </c>
      <c r="J11" s="114">
        <v>0.0</v>
      </c>
      <c r="K11" s="96">
        <v>1.0</v>
      </c>
    </row>
    <row r="12" ht="12.75" customHeight="1">
      <c r="A12" s="106" t="s">
        <v>31</v>
      </c>
      <c r="B12" s="114">
        <v>0.0</v>
      </c>
      <c r="C12" s="114">
        <v>0.0</v>
      </c>
      <c r="D12" s="114">
        <v>0.0</v>
      </c>
      <c r="E12" s="114">
        <v>0.0</v>
      </c>
      <c r="F12" s="114">
        <v>1.0</v>
      </c>
      <c r="G12" s="114">
        <v>2.0</v>
      </c>
      <c r="H12" s="114">
        <v>3.0</v>
      </c>
      <c r="I12" s="114">
        <v>4.0</v>
      </c>
      <c r="J12" s="114">
        <v>5.0</v>
      </c>
      <c r="K12" s="96">
        <v>6.0</v>
      </c>
    </row>
    <row r="13" ht="12.75" customHeight="1">
      <c r="A13" s="106" t="s">
        <v>35</v>
      </c>
      <c r="B13" s="114">
        <v>0.0</v>
      </c>
      <c r="C13" s="114">
        <v>0.0</v>
      </c>
      <c r="D13" s="114">
        <v>0.0</v>
      </c>
      <c r="E13" s="114">
        <v>0.0</v>
      </c>
      <c r="F13" s="114">
        <v>0.0</v>
      </c>
      <c r="G13" s="114">
        <v>0.0</v>
      </c>
      <c r="H13" s="114">
        <v>0.0</v>
      </c>
      <c r="I13" s="114">
        <v>0.0</v>
      </c>
      <c r="J13" s="114">
        <v>0.0</v>
      </c>
      <c r="K13" s="96">
        <v>1.0</v>
      </c>
    </row>
    <row r="14" ht="12.75" customHeight="1">
      <c r="A14" s="106" t="s">
        <v>40</v>
      </c>
      <c r="B14" s="114">
        <v>0.0</v>
      </c>
      <c r="C14" s="114">
        <v>0.0</v>
      </c>
      <c r="D14" s="114">
        <v>0.0</v>
      </c>
      <c r="E14" s="114">
        <v>0.0</v>
      </c>
      <c r="F14" s="114">
        <v>0.0</v>
      </c>
      <c r="G14" s="114">
        <v>0.0</v>
      </c>
      <c r="H14" s="114">
        <v>0.0</v>
      </c>
      <c r="I14" s="114">
        <v>0.0</v>
      </c>
      <c r="J14" s="114">
        <v>0.0</v>
      </c>
      <c r="K14" s="96">
        <v>1.0</v>
      </c>
    </row>
    <row r="15" ht="12.75" customHeight="1">
      <c r="F15" s="96"/>
    </row>
    <row r="16" ht="14.25" customHeight="1">
      <c r="A16" s="95" t="s">
        <v>905</v>
      </c>
      <c r="F16" s="96"/>
    </row>
    <row r="17" ht="14.25" customHeight="1">
      <c r="A17" s="95" t="s">
        <v>468</v>
      </c>
      <c r="F17" s="96"/>
    </row>
    <row r="18" ht="14.25" customHeight="1">
      <c r="A18" s="115" t="s">
        <v>906</v>
      </c>
      <c r="F18" s="96"/>
    </row>
    <row r="19" ht="12.75" customHeight="1">
      <c r="F19" s="96"/>
    </row>
    <row r="20" ht="14.25" customHeight="1">
      <c r="A20" s="95" t="s">
        <v>470</v>
      </c>
      <c r="F20" s="96"/>
    </row>
    <row r="21" ht="14.25" customHeight="1">
      <c r="A21" s="115" t="s">
        <v>577</v>
      </c>
      <c r="F21" s="96"/>
    </row>
    <row r="22" ht="12.75" customHeight="1">
      <c r="F22" s="96"/>
    </row>
    <row r="23" ht="14.25" customHeight="1">
      <c r="A23" s="95" t="s">
        <v>58</v>
      </c>
      <c r="B23" s="95" t="s">
        <v>37</v>
      </c>
      <c r="C23" s="95" t="s">
        <v>59</v>
      </c>
      <c r="D23" s="95" t="s">
        <v>60</v>
      </c>
      <c r="E23" s="95" t="s">
        <v>472</v>
      </c>
      <c r="F23" s="95" t="s">
        <v>54</v>
      </c>
    </row>
    <row r="24" ht="14.25" customHeight="1">
      <c r="A24" s="108" t="s">
        <v>903</v>
      </c>
      <c r="B24" s="95"/>
      <c r="C24" s="95"/>
      <c r="D24" s="95"/>
      <c r="E24" s="95"/>
      <c r="F24" s="95"/>
    </row>
    <row r="25" ht="14.25" customHeight="1">
      <c r="A25" s="95" t="s">
        <v>686</v>
      </c>
      <c r="F25" s="96"/>
    </row>
    <row r="26" ht="14.25" customHeight="1">
      <c r="A26" s="119" t="s">
        <v>907</v>
      </c>
      <c r="B26" s="119" t="s">
        <v>263</v>
      </c>
      <c r="C26" s="120" t="s">
        <v>264</v>
      </c>
      <c r="D26" s="121">
        <v>0.0</v>
      </c>
      <c r="E26" s="119" t="s">
        <v>908</v>
      </c>
      <c r="F26" s="119" t="s">
        <v>909</v>
      </c>
    </row>
    <row r="27" ht="14.25" customHeight="1">
      <c r="A27" s="119" t="s">
        <v>910</v>
      </c>
      <c r="B27" s="119" t="s">
        <v>263</v>
      </c>
      <c r="C27" s="120" t="s">
        <v>264</v>
      </c>
      <c r="D27" s="121">
        <v>0.0</v>
      </c>
      <c r="E27" s="119" t="s">
        <v>911</v>
      </c>
      <c r="F27" s="119" t="s">
        <v>912</v>
      </c>
    </row>
    <row r="28" ht="14.25" customHeight="1">
      <c r="A28" s="119" t="s">
        <v>913</v>
      </c>
      <c r="B28" s="119" t="s">
        <v>252</v>
      </c>
      <c r="C28" s="120" t="s">
        <v>264</v>
      </c>
      <c r="D28" s="121">
        <v>0.0</v>
      </c>
      <c r="E28" s="119" t="s">
        <v>448</v>
      </c>
      <c r="F28" s="122" t="s">
        <v>914</v>
      </c>
    </row>
    <row r="29" ht="14.25" customHeight="1">
      <c r="A29" s="119" t="s">
        <v>915</v>
      </c>
      <c r="B29" s="119" t="s">
        <v>916</v>
      </c>
      <c r="C29" s="120" t="s">
        <v>264</v>
      </c>
      <c r="D29" s="121">
        <v>0.0</v>
      </c>
      <c r="E29" s="119" t="s">
        <v>448</v>
      </c>
      <c r="F29" s="122" t="s">
        <v>917</v>
      </c>
    </row>
    <row r="30" ht="14.25" customHeight="1">
      <c r="A30" s="119" t="s">
        <v>918</v>
      </c>
      <c r="B30" s="119" t="s">
        <v>916</v>
      </c>
      <c r="C30" s="120" t="s">
        <v>264</v>
      </c>
      <c r="D30" s="121">
        <v>0.0</v>
      </c>
      <c r="E30" s="119" t="s">
        <v>448</v>
      </c>
      <c r="F30" s="122" t="s">
        <v>919</v>
      </c>
    </row>
    <row r="31" ht="14.25" customHeight="1">
      <c r="A31" s="119" t="s">
        <v>920</v>
      </c>
      <c r="B31" s="119" t="s">
        <v>916</v>
      </c>
      <c r="C31" s="120" t="s">
        <v>264</v>
      </c>
      <c r="D31" s="121">
        <v>0.0</v>
      </c>
      <c r="E31" s="119" t="s">
        <v>448</v>
      </c>
      <c r="F31" s="122" t="s">
        <v>921</v>
      </c>
    </row>
    <row r="32" ht="14.25" customHeight="1">
      <c r="A32" s="119" t="s">
        <v>922</v>
      </c>
      <c r="B32" s="119" t="s">
        <v>252</v>
      </c>
      <c r="C32" s="120" t="s">
        <v>264</v>
      </c>
      <c r="D32" s="121">
        <v>0.0</v>
      </c>
      <c r="E32" s="119" t="s">
        <v>448</v>
      </c>
      <c r="F32" s="119" t="s">
        <v>923</v>
      </c>
    </row>
    <row r="33" ht="14.25" customHeight="1">
      <c r="A33" s="119" t="s">
        <v>924</v>
      </c>
      <c r="B33" s="123" t="s">
        <v>503</v>
      </c>
      <c r="C33" s="120" t="s">
        <v>264</v>
      </c>
      <c r="D33" s="121">
        <v>0.0</v>
      </c>
      <c r="E33" s="119" t="s">
        <v>448</v>
      </c>
      <c r="F33" s="122" t="s">
        <v>925</v>
      </c>
    </row>
    <row r="34" ht="14.25" customHeight="1">
      <c r="A34" s="119" t="s">
        <v>926</v>
      </c>
      <c r="B34" s="119" t="s">
        <v>321</v>
      </c>
      <c r="C34" s="119" t="s">
        <v>927</v>
      </c>
      <c r="D34" s="121">
        <v>0.0</v>
      </c>
      <c r="E34" s="119" t="s">
        <v>448</v>
      </c>
      <c r="F34" s="119" t="s">
        <v>928</v>
      </c>
    </row>
    <row r="35" ht="14.25" customHeight="1">
      <c r="A35" s="119" t="s">
        <v>929</v>
      </c>
      <c r="B35" s="119" t="s">
        <v>916</v>
      </c>
      <c r="C35" s="120" t="s">
        <v>264</v>
      </c>
      <c r="D35" s="121">
        <v>0.0</v>
      </c>
      <c r="E35" s="119" t="s">
        <v>448</v>
      </c>
      <c r="F35" s="119" t="s">
        <v>930</v>
      </c>
    </row>
    <row r="36" ht="14.25" customHeight="1">
      <c r="A36" s="119" t="s">
        <v>931</v>
      </c>
      <c r="B36" s="119" t="s">
        <v>263</v>
      </c>
      <c r="C36" s="120" t="s">
        <v>264</v>
      </c>
      <c r="D36" s="121">
        <v>0.0</v>
      </c>
      <c r="E36" s="119" t="s">
        <v>448</v>
      </c>
      <c r="F36" s="122" t="s">
        <v>932</v>
      </c>
    </row>
    <row r="37" ht="14.25" customHeight="1">
      <c r="A37" s="119" t="s">
        <v>933</v>
      </c>
      <c r="B37" s="119" t="s">
        <v>934</v>
      </c>
      <c r="C37" s="120" t="s">
        <v>264</v>
      </c>
      <c r="D37" s="121">
        <v>0.0</v>
      </c>
      <c r="E37" s="119" t="s">
        <v>907</v>
      </c>
      <c r="F37" s="119" t="s">
        <v>935</v>
      </c>
    </row>
    <row r="38" ht="14.25" customHeight="1">
      <c r="A38" s="119" t="s">
        <v>936</v>
      </c>
      <c r="B38" s="119" t="s">
        <v>937</v>
      </c>
      <c r="C38" s="120" t="s">
        <v>264</v>
      </c>
      <c r="D38" s="121">
        <v>0.0</v>
      </c>
      <c r="E38" s="119" t="s">
        <v>907</v>
      </c>
      <c r="F38" s="123" t="s">
        <v>938</v>
      </c>
    </row>
    <row r="39" ht="14.25" customHeight="1">
      <c r="A39" s="119" t="s">
        <v>939</v>
      </c>
      <c r="B39" s="119" t="s">
        <v>263</v>
      </c>
      <c r="C39" s="120" t="s">
        <v>264</v>
      </c>
      <c r="D39" s="121">
        <v>0.0</v>
      </c>
      <c r="E39" s="123" t="s">
        <v>910</v>
      </c>
      <c r="F39" s="119" t="s">
        <v>940</v>
      </c>
    </row>
    <row r="40" ht="14.25" customHeight="1">
      <c r="A40" s="119" t="s">
        <v>941</v>
      </c>
      <c r="B40" s="119" t="s">
        <v>509</v>
      </c>
      <c r="C40" s="120" t="s">
        <v>942</v>
      </c>
      <c r="D40" s="121">
        <v>0.0</v>
      </c>
      <c r="E40" s="123" t="s">
        <v>910</v>
      </c>
      <c r="F40" s="119" t="s">
        <v>943</v>
      </c>
    </row>
    <row r="41" ht="14.25" customHeight="1">
      <c r="A41" s="122" t="s">
        <v>944</v>
      </c>
      <c r="B41" s="124"/>
      <c r="C41" s="124"/>
      <c r="D41" s="124"/>
      <c r="E41" s="124"/>
      <c r="F41" s="124"/>
    </row>
    <row r="42" ht="14.25" customHeight="1">
      <c r="A42" s="119" t="s">
        <v>945</v>
      </c>
      <c r="B42" s="119" t="s">
        <v>263</v>
      </c>
      <c r="C42" s="120" t="s">
        <v>264</v>
      </c>
      <c r="D42" s="121">
        <v>0.0</v>
      </c>
      <c r="E42" s="119" t="s">
        <v>946</v>
      </c>
      <c r="F42" s="122" t="s">
        <v>947</v>
      </c>
    </row>
    <row r="43" ht="85.5" customHeight="1">
      <c r="A43" s="119" t="s">
        <v>948</v>
      </c>
      <c r="B43" s="119" t="s">
        <v>263</v>
      </c>
      <c r="C43" s="120" t="s">
        <v>264</v>
      </c>
      <c r="D43" s="121">
        <v>0.0</v>
      </c>
      <c r="E43" s="119" t="s">
        <v>949</v>
      </c>
      <c r="F43" s="122" t="s">
        <v>950</v>
      </c>
    </row>
    <row r="44" ht="14.25" customHeight="1">
      <c r="A44" s="119" t="s">
        <v>951</v>
      </c>
      <c r="B44" s="119" t="s">
        <v>263</v>
      </c>
      <c r="C44" s="120" t="s">
        <v>264</v>
      </c>
      <c r="D44" s="121">
        <v>0.0</v>
      </c>
      <c r="E44" s="119" t="s">
        <v>949</v>
      </c>
      <c r="F44" s="122" t="s">
        <v>952</v>
      </c>
    </row>
    <row r="45" ht="14.25" customHeight="1">
      <c r="A45" s="119" t="s">
        <v>953</v>
      </c>
      <c r="B45" s="119" t="s">
        <v>263</v>
      </c>
      <c r="C45" s="120" t="s">
        <v>264</v>
      </c>
      <c r="D45" s="121">
        <v>0.0</v>
      </c>
      <c r="E45" s="119" t="s">
        <v>954</v>
      </c>
      <c r="F45" s="122" t="s">
        <v>955</v>
      </c>
    </row>
    <row r="46" ht="12.75" customHeight="1">
      <c r="A46" s="119" t="s">
        <v>956</v>
      </c>
      <c r="B46" s="119" t="s">
        <v>263</v>
      </c>
      <c r="C46" s="119" t="s">
        <v>957</v>
      </c>
      <c r="D46" s="121">
        <v>0.0</v>
      </c>
      <c r="E46" s="119" t="s">
        <v>958</v>
      </c>
      <c r="F46" s="119" t="s">
        <v>959</v>
      </c>
    </row>
    <row r="47" ht="12.75" customHeight="1">
      <c r="A47" s="119" t="s">
        <v>960</v>
      </c>
      <c r="B47" s="119" t="s">
        <v>263</v>
      </c>
      <c r="C47" s="120" t="s">
        <v>264</v>
      </c>
      <c r="D47" s="121">
        <v>0.0</v>
      </c>
      <c r="E47" s="119" t="s">
        <v>961</v>
      </c>
      <c r="F47" s="119" t="s">
        <v>962</v>
      </c>
    </row>
    <row r="48" ht="12.75" customHeight="1">
      <c r="A48" s="119" t="s">
        <v>963</v>
      </c>
      <c r="B48" s="119" t="s">
        <v>934</v>
      </c>
      <c r="C48" s="120" t="s">
        <v>964</v>
      </c>
      <c r="D48" s="121">
        <v>0.0</v>
      </c>
      <c r="E48" s="119" t="s">
        <v>961</v>
      </c>
      <c r="F48" s="119" t="s">
        <v>965</v>
      </c>
    </row>
    <row r="49" ht="12.75" customHeight="1">
      <c r="A49" s="119" t="s">
        <v>966</v>
      </c>
      <c r="B49" s="119" t="s">
        <v>321</v>
      </c>
      <c r="C49" s="120" t="s">
        <v>563</v>
      </c>
      <c r="D49" s="121">
        <v>0.0</v>
      </c>
      <c r="E49" s="119" t="s">
        <v>967</v>
      </c>
      <c r="F49" s="119" t="s">
        <v>968</v>
      </c>
    </row>
    <row r="50" ht="12.75" customHeight="1">
      <c r="A50" s="119" t="s">
        <v>969</v>
      </c>
      <c r="B50" s="119" t="s">
        <v>263</v>
      </c>
      <c r="C50" s="120" t="s">
        <v>264</v>
      </c>
      <c r="D50" s="121">
        <v>0.0</v>
      </c>
      <c r="E50" s="119" t="s">
        <v>970</v>
      </c>
      <c r="F50" s="125" t="s">
        <v>971</v>
      </c>
    </row>
    <row r="51" ht="12.75" customHeight="1">
      <c r="A51" s="119" t="s">
        <v>972</v>
      </c>
      <c r="B51" s="119" t="s">
        <v>252</v>
      </c>
      <c r="C51" s="119" t="s">
        <v>964</v>
      </c>
      <c r="D51" s="121">
        <v>0.0</v>
      </c>
      <c r="E51" s="119" t="s">
        <v>961</v>
      </c>
      <c r="F51" s="125" t="s">
        <v>973</v>
      </c>
    </row>
    <row r="52" ht="12.75" customHeight="1">
      <c r="A52" s="119" t="s">
        <v>974</v>
      </c>
      <c r="B52" s="119" t="s">
        <v>975</v>
      </c>
      <c r="C52" s="120" t="s">
        <v>264</v>
      </c>
      <c r="D52" s="121">
        <v>0.0</v>
      </c>
      <c r="E52" s="119" t="s">
        <v>976</v>
      </c>
      <c r="F52" s="122" t="s">
        <v>977</v>
      </c>
    </row>
    <row r="53" ht="12.75" customHeight="1">
      <c r="A53" s="119" t="s">
        <v>978</v>
      </c>
      <c r="B53" s="120" t="s">
        <v>481</v>
      </c>
      <c r="C53" s="120" t="s">
        <v>979</v>
      </c>
      <c r="D53" s="121">
        <v>0.0</v>
      </c>
      <c r="E53" s="123" t="s">
        <v>980</v>
      </c>
      <c r="F53" s="122" t="s">
        <v>981</v>
      </c>
    </row>
    <row r="54" ht="12.75" customHeight="1">
      <c r="A54" s="119" t="s">
        <v>982</v>
      </c>
      <c r="B54" s="119" t="s">
        <v>983</v>
      </c>
      <c r="C54" s="120" t="s">
        <v>264</v>
      </c>
      <c r="D54" s="121">
        <v>0.0</v>
      </c>
      <c r="E54" s="119" t="s">
        <v>984</v>
      </c>
      <c r="F54" s="122" t="s">
        <v>985</v>
      </c>
    </row>
    <row r="55" ht="12.75" customHeight="1">
      <c r="A55" s="119" t="s">
        <v>986</v>
      </c>
      <c r="B55" s="119" t="s">
        <v>321</v>
      </c>
      <c r="C55" s="119" t="s">
        <v>846</v>
      </c>
      <c r="D55" s="121">
        <v>0.0</v>
      </c>
      <c r="E55" s="119" t="s">
        <v>987</v>
      </c>
      <c r="F55" s="122" t="s">
        <v>988</v>
      </c>
    </row>
    <row r="56" ht="12.75" customHeight="1">
      <c r="F56" s="96"/>
    </row>
    <row r="57" ht="12.75" customHeight="1">
      <c r="F57" s="96"/>
    </row>
    <row r="58" ht="12.75" customHeight="1">
      <c r="F58" s="96"/>
    </row>
    <row r="59" ht="12.75" customHeight="1">
      <c r="F59" s="96"/>
    </row>
    <row r="60" ht="12.75" customHeight="1">
      <c r="F60" s="96"/>
    </row>
    <row r="61" ht="12.75" customHeight="1">
      <c r="F61" s="96"/>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2" width="7.63"/>
    <col customWidth="1" min="3" max="3" width="9.38"/>
    <col customWidth="1" min="4" max="26" width="7.63"/>
  </cols>
  <sheetData>
    <row r="1" ht="14.25" customHeight="1">
      <c r="A1" s="95" t="s">
        <v>989</v>
      </c>
    </row>
    <row r="2" ht="14.25" customHeight="1">
      <c r="A2" s="95" t="s">
        <v>990</v>
      </c>
    </row>
    <row r="3" ht="14.25" customHeight="1">
      <c r="A3" s="95" t="s">
        <v>33</v>
      </c>
      <c r="B3" s="95" t="s">
        <v>38</v>
      </c>
      <c r="C3" s="95" t="s">
        <v>42</v>
      </c>
      <c r="D3" s="95" t="s">
        <v>48</v>
      </c>
    </row>
    <row r="4" ht="12.75" customHeight="1">
      <c r="A4" s="113">
        <v>5.0</v>
      </c>
      <c r="B4" s="113">
        <v>2.0</v>
      </c>
      <c r="C4" s="113">
        <v>2.0</v>
      </c>
      <c r="D4" s="113">
        <v>3.0</v>
      </c>
    </row>
    <row r="5" ht="12.75" customHeight="1"/>
    <row r="6" ht="33.0" customHeight="1">
      <c r="A6" s="105" t="s">
        <v>465</v>
      </c>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0.0</v>
      </c>
      <c r="C8" s="114">
        <v>1.0</v>
      </c>
      <c r="D8" s="114">
        <v>4.0</v>
      </c>
      <c r="E8" s="114">
        <v>7.0</v>
      </c>
      <c r="F8" s="114">
        <v>8.0</v>
      </c>
      <c r="G8" s="114">
        <v>9.0</v>
      </c>
      <c r="H8" s="114">
        <v>10.0</v>
      </c>
      <c r="I8" s="114">
        <v>11.0</v>
      </c>
      <c r="J8" s="114">
        <v>12.0</v>
      </c>
      <c r="K8" s="96">
        <v>13.0</v>
      </c>
    </row>
    <row r="9" ht="12.75" customHeight="1">
      <c r="A9" s="106" t="s">
        <v>17</v>
      </c>
      <c r="B9" s="114">
        <v>-1.0</v>
      </c>
      <c r="C9" s="114">
        <v>0.0</v>
      </c>
      <c r="D9" s="114">
        <v>2.0</v>
      </c>
      <c r="E9" s="114">
        <v>3.0</v>
      </c>
      <c r="F9" s="114">
        <v>4.0</v>
      </c>
      <c r="G9" s="114">
        <v>5.0</v>
      </c>
      <c r="H9" s="114">
        <v>6.0</v>
      </c>
      <c r="I9" s="114">
        <v>7.0</v>
      </c>
      <c r="J9" s="114">
        <v>8.0</v>
      </c>
      <c r="K9" s="96">
        <v>9.0</v>
      </c>
    </row>
    <row r="10" ht="12.75" customHeight="1">
      <c r="A10" s="106" t="s">
        <v>22</v>
      </c>
      <c r="B10" s="114">
        <v>-1.0</v>
      </c>
      <c r="C10" s="114">
        <v>0.0</v>
      </c>
      <c r="D10" s="114">
        <v>2.0</v>
      </c>
      <c r="E10" s="114">
        <v>3.0</v>
      </c>
      <c r="F10" s="114">
        <v>4.0</v>
      </c>
      <c r="G10" s="114">
        <v>5.0</v>
      </c>
      <c r="H10" s="114">
        <v>6.0</v>
      </c>
      <c r="I10" s="114">
        <v>7.0</v>
      </c>
      <c r="J10" s="114">
        <v>8.0</v>
      </c>
      <c r="K10" s="96">
        <v>9.0</v>
      </c>
    </row>
    <row r="11" ht="12.75" customHeight="1">
      <c r="A11" s="106" t="s">
        <v>27</v>
      </c>
      <c r="B11" s="114">
        <v>1.0</v>
      </c>
      <c r="C11" s="114">
        <v>2.0</v>
      </c>
      <c r="D11" s="114">
        <v>5.0</v>
      </c>
      <c r="E11" s="114">
        <v>8.0</v>
      </c>
      <c r="F11" s="114">
        <v>9.0</v>
      </c>
      <c r="G11" s="114">
        <v>10.0</v>
      </c>
      <c r="H11" s="114">
        <v>11.0</v>
      </c>
      <c r="I11" s="114">
        <v>12.0</v>
      </c>
      <c r="J11" s="114">
        <v>13.0</v>
      </c>
      <c r="K11" s="96">
        <v>14.0</v>
      </c>
    </row>
    <row r="12" ht="12.75" customHeight="1">
      <c r="A12" s="106" t="s">
        <v>31</v>
      </c>
      <c r="B12" s="114">
        <v>4.0</v>
      </c>
      <c r="C12" s="114">
        <v>10.0</v>
      </c>
      <c r="D12" s="114">
        <v>16.0</v>
      </c>
      <c r="E12" s="114">
        <v>26.0</v>
      </c>
      <c r="F12" s="114">
        <v>29.0</v>
      </c>
      <c r="G12" s="114">
        <v>31.0</v>
      </c>
      <c r="H12" s="114">
        <v>33.0</v>
      </c>
      <c r="I12" s="114">
        <v>35.0</v>
      </c>
      <c r="J12" s="114">
        <v>37.0</v>
      </c>
      <c r="K12" s="96">
        <v>41.0</v>
      </c>
    </row>
    <row r="13" ht="12.75" customHeight="1">
      <c r="A13" s="106" t="s">
        <v>35</v>
      </c>
      <c r="B13" s="114">
        <v>5.0</v>
      </c>
      <c r="C13" s="114">
        <v>8.0</v>
      </c>
      <c r="D13" s="114">
        <v>8.0</v>
      </c>
      <c r="E13" s="114">
        <v>11.0</v>
      </c>
      <c r="F13" s="114">
        <v>11.0</v>
      </c>
      <c r="G13" s="114">
        <v>14.0</v>
      </c>
      <c r="H13" s="114">
        <v>16.0</v>
      </c>
      <c r="I13" s="114">
        <v>18.0</v>
      </c>
      <c r="J13" s="114">
        <v>18.0</v>
      </c>
      <c r="K13" s="96">
        <v>21.0</v>
      </c>
    </row>
    <row r="14" ht="12.75" customHeight="1">
      <c r="A14" s="106" t="s">
        <v>40</v>
      </c>
      <c r="B14" s="114">
        <v>0.0</v>
      </c>
      <c r="C14" s="114">
        <v>1.0</v>
      </c>
      <c r="D14" s="114">
        <v>1.0</v>
      </c>
      <c r="E14" s="114">
        <v>2.0</v>
      </c>
      <c r="F14" s="114">
        <v>2.0</v>
      </c>
      <c r="G14" s="114">
        <v>2.0</v>
      </c>
      <c r="H14" s="114">
        <v>3.0</v>
      </c>
      <c r="I14" s="114">
        <v>3.0</v>
      </c>
      <c r="J14" s="114">
        <v>3.0</v>
      </c>
      <c r="K14" s="96">
        <v>4.0</v>
      </c>
    </row>
    <row r="15" ht="12.75" customHeight="1"/>
    <row r="16" ht="14.25" customHeight="1">
      <c r="A16" s="95" t="s">
        <v>991</v>
      </c>
    </row>
    <row r="17" ht="14.25" customHeight="1">
      <c r="A17" s="95" t="s">
        <v>468</v>
      </c>
    </row>
    <row r="18" ht="14.25" customHeight="1">
      <c r="A18" s="115" t="s">
        <v>992</v>
      </c>
    </row>
    <row r="19" ht="12.75" customHeight="1"/>
    <row r="20" ht="14.25" customHeight="1">
      <c r="A20" s="95" t="s">
        <v>470</v>
      </c>
    </row>
    <row r="21" ht="14.25" customHeight="1">
      <c r="A21" s="115" t="s">
        <v>577</v>
      </c>
    </row>
    <row r="22" ht="12.75" customHeight="1"/>
    <row r="23" ht="14.25" customHeight="1">
      <c r="A23" s="95" t="s">
        <v>58</v>
      </c>
      <c r="B23" s="95" t="s">
        <v>37</v>
      </c>
      <c r="C23" s="95" t="s">
        <v>59</v>
      </c>
      <c r="D23" s="95" t="s">
        <v>60</v>
      </c>
      <c r="E23" s="95" t="s">
        <v>472</v>
      </c>
      <c r="F23" s="95" t="s">
        <v>54</v>
      </c>
    </row>
    <row r="24" ht="14.25" customHeight="1">
      <c r="A24" s="108" t="s">
        <v>989</v>
      </c>
      <c r="B24" s="95"/>
      <c r="C24" s="95"/>
      <c r="D24" s="95"/>
      <c r="E24" s="95"/>
      <c r="F24" s="95"/>
    </row>
    <row r="25" ht="14.25" customHeight="1">
      <c r="A25" s="95" t="s">
        <v>686</v>
      </c>
    </row>
    <row r="26" ht="14.25" customHeight="1">
      <c r="A26" s="95" t="s">
        <v>993</v>
      </c>
      <c r="B26" s="95" t="s">
        <v>263</v>
      </c>
      <c r="C26" s="99" t="s">
        <v>264</v>
      </c>
      <c r="D26" s="96">
        <v>0.0</v>
      </c>
      <c r="E26" s="95" t="s">
        <v>254</v>
      </c>
      <c r="F26" s="95" t="s">
        <v>994</v>
      </c>
    </row>
    <row r="27" ht="14.25" customHeight="1">
      <c r="A27" s="95" t="s">
        <v>995</v>
      </c>
      <c r="B27" s="95" t="s">
        <v>584</v>
      </c>
      <c r="C27" s="99" t="s">
        <v>264</v>
      </c>
      <c r="D27" s="96">
        <v>2.0</v>
      </c>
      <c r="E27" s="95" t="s">
        <v>254</v>
      </c>
      <c r="F27" s="95" t="s">
        <v>996</v>
      </c>
    </row>
    <row r="28" ht="14.25" customHeight="1">
      <c r="A28" s="95" t="s">
        <v>997</v>
      </c>
      <c r="B28" s="95" t="s">
        <v>998</v>
      </c>
      <c r="C28" s="95" t="s">
        <v>999</v>
      </c>
      <c r="D28" s="96">
        <v>0.0</v>
      </c>
      <c r="E28" s="95" t="s">
        <v>254</v>
      </c>
      <c r="F28" s="95" t="s">
        <v>1000</v>
      </c>
    </row>
    <row r="29" ht="14.25" customHeight="1">
      <c r="A29" s="95" t="s">
        <v>1001</v>
      </c>
      <c r="B29" s="95" t="s">
        <v>321</v>
      </c>
      <c r="C29" s="99" t="s">
        <v>264</v>
      </c>
      <c r="D29" s="95" t="s">
        <v>1002</v>
      </c>
      <c r="E29" s="95" t="s">
        <v>254</v>
      </c>
      <c r="F29" s="95" t="s">
        <v>1003</v>
      </c>
    </row>
    <row r="30" ht="14.25" customHeight="1">
      <c r="A30" s="95" t="s">
        <v>1004</v>
      </c>
      <c r="B30" s="95" t="s">
        <v>1005</v>
      </c>
      <c r="C30" s="99" t="s">
        <v>264</v>
      </c>
      <c r="D30" s="96">
        <v>2.0</v>
      </c>
      <c r="E30" s="95" t="s">
        <v>254</v>
      </c>
      <c r="F30" s="95" t="s">
        <v>1006</v>
      </c>
    </row>
    <row r="31" ht="14.25" customHeight="1">
      <c r="A31" s="95" t="s">
        <v>1007</v>
      </c>
      <c r="B31" s="95" t="s">
        <v>321</v>
      </c>
      <c r="C31" s="95" t="s">
        <v>1008</v>
      </c>
      <c r="D31" s="96">
        <v>0.0</v>
      </c>
      <c r="E31" s="95" t="s">
        <v>254</v>
      </c>
      <c r="F31" s="95" t="s">
        <v>1009</v>
      </c>
    </row>
    <row r="32" ht="14.25" customHeight="1">
      <c r="A32" s="95" t="s">
        <v>1010</v>
      </c>
      <c r="B32" s="95" t="s">
        <v>599</v>
      </c>
      <c r="C32" s="99" t="s">
        <v>264</v>
      </c>
      <c r="D32" s="96">
        <v>0.0</v>
      </c>
      <c r="E32" s="95" t="s">
        <v>254</v>
      </c>
      <c r="F32" s="95" t="s">
        <v>1011</v>
      </c>
    </row>
    <row r="33" ht="14.25" customHeight="1">
      <c r="A33" s="95" t="s">
        <v>1012</v>
      </c>
      <c r="B33" s="95" t="s">
        <v>263</v>
      </c>
      <c r="C33" s="99" t="s">
        <v>264</v>
      </c>
      <c r="D33" s="96">
        <v>0.0</v>
      </c>
      <c r="E33" s="95" t="s">
        <v>254</v>
      </c>
      <c r="F33" s="95" t="s">
        <v>1013</v>
      </c>
    </row>
    <row r="34" ht="14.25" customHeight="1">
      <c r="A34" s="95" t="s">
        <v>1014</v>
      </c>
      <c r="B34" s="95" t="s">
        <v>595</v>
      </c>
      <c r="C34" s="95" t="s">
        <v>1015</v>
      </c>
      <c r="D34" s="96">
        <v>0.0</v>
      </c>
      <c r="E34" s="95" t="s">
        <v>254</v>
      </c>
      <c r="F34" s="95" t="s">
        <v>1016</v>
      </c>
    </row>
    <row r="35" ht="14.25" customHeight="1">
      <c r="A35" s="95" t="s">
        <v>1017</v>
      </c>
      <c r="B35" s="95" t="s">
        <v>595</v>
      </c>
      <c r="C35" s="95" t="s">
        <v>1018</v>
      </c>
      <c r="D35" s="96">
        <v>0.0</v>
      </c>
      <c r="E35" s="95" t="s">
        <v>254</v>
      </c>
      <c r="F35" s="95" t="s">
        <v>1019</v>
      </c>
    </row>
    <row r="36" ht="14.25" customHeight="1">
      <c r="A36" s="95" t="s">
        <v>1020</v>
      </c>
      <c r="B36" s="95" t="s">
        <v>321</v>
      </c>
      <c r="C36" s="99" t="s">
        <v>264</v>
      </c>
      <c r="D36" s="96">
        <v>0.0</v>
      </c>
      <c r="E36" s="95" t="s">
        <v>254</v>
      </c>
      <c r="F36" s="95" t="s">
        <v>1021</v>
      </c>
    </row>
    <row r="37" ht="14.25" customHeight="1">
      <c r="A37" s="95" t="s">
        <v>1022</v>
      </c>
      <c r="B37" s="95" t="s">
        <v>263</v>
      </c>
      <c r="C37" s="99" t="s">
        <v>264</v>
      </c>
      <c r="D37" s="96">
        <v>0.0</v>
      </c>
      <c r="E37" s="95" t="s">
        <v>254</v>
      </c>
      <c r="F37" s="95" t="s">
        <v>1023</v>
      </c>
    </row>
    <row r="38" ht="14.25" customHeight="1">
      <c r="A38" s="95" t="s">
        <v>1024</v>
      </c>
      <c r="B38" s="95" t="s">
        <v>321</v>
      </c>
      <c r="C38" s="99" t="s">
        <v>264</v>
      </c>
      <c r="D38" s="96">
        <v>0.0</v>
      </c>
      <c r="E38" s="95" t="s">
        <v>254</v>
      </c>
      <c r="F38" s="94" t="s">
        <v>1025</v>
      </c>
    </row>
    <row r="39" ht="14.25" customHeight="1">
      <c r="A39" s="95" t="s">
        <v>1026</v>
      </c>
    </row>
    <row r="40" ht="14.25" customHeight="1">
      <c r="A40" s="95" t="s">
        <v>1027</v>
      </c>
      <c r="B40" s="95" t="s">
        <v>252</v>
      </c>
      <c r="C40" s="99" t="s">
        <v>264</v>
      </c>
      <c r="D40" s="96">
        <v>0.0</v>
      </c>
      <c r="E40" s="95" t="s">
        <v>1028</v>
      </c>
      <c r="F40" s="95" t="s">
        <v>1029</v>
      </c>
    </row>
    <row r="41" ht="14.25" customHeight="1">
      <c r="A41" s="95" t="s">
        <v>1030</v>
      </c>
      <c r="B41" s="95" t="s">
        <v>252</v>
      </c>
      <c r="C41" s="95" t="s">
        <v>1031</v>
      </c>
      <c r="D41" s="96">
        <v>0.0</v>
      </c>
      <c r="E41" s="95" t="s">
        <v>1032</v>
      </c>
      <c r="F41" s="95" t="s">
        <v>1033</v>
      </c>
    </row>
    <row r="42" ht="14.25" customHeight="1">
      <c r="A42" s="95" t="s">
        <v>1034</v>
      </c>
      <c r="B42" s="95" t="s">
        <v>263</v>
      </c>
      <c r="C42" s="99" t="s">
        <v>264</v>
      </c>
      <c r="D42" s="96">
        <v>0.0</v>
      </c>
      <c r="E42" s="95" t="s">
        <v>1035</v>
      </c>
      <c r="F42" s="95" t="s">
        <v>1036</v>
      </c>
    </row>
    <row r="43" ht="14.25" customHeight="1">
      <c r="A43" s="95" t="s">
        <v>1037</v>
      </c>
      <c r="B43" s="95" t="s">
        <v>252</v>
      </c>
      <c r="C43" s="99" t="s">
        <v>264</v>
      </c>
      <c r="D43" s="96">
        <v>0.0</v>
      </c>
      <c r="E43" s="95" t="s">
        <v>1038</v>
      </c>
      <c r="F43" s="95" t="s">
        <v>1039</v>
      </c>
    </row>
    <row r="44" ht="14.25" customHeight="1">
      <c r="A44" s="95" t="s">
        <v>1040</v>
      </c>
      <c r="B44" s="95" t="s">
        <v>252</v>
      </c>
      <c r="C44" s="95" t="s">
        <v>516</v>
      </c>
      <c r="D44" s="96">
        <v>0.0</v>
      </c>
      <c r="E44" s="95" t="s">
        <v>1028</v>
      </c>
      <c r="F44" s="95" t="s">
        <v>1041</v>
      </c>
    </row>
    <row r="45" ht="14.25" customHeight="1">
      <c r="A45" s="95" t="s">
        <v>1042</v>
      </c>
      <c r="B45" s="95" t="s">
        <v>1043</v>
      </c>
      <c r="C45" s="95" t="s">
        <v>497</v>
      </c>
      <c r="D45" s="96">
        <v>0.0</v>
      </c>
      <c r="E45" s="95" t="s">
        <v>1044</v>
      </c>
      <c r="F45" s="95" t="s">
        <v>1045</v>
      </c>
    </row>
    <row r="46" ht="14.25" customHeight="1">
      <c r="A46" s="95" t="s">
        <v>1046</v>
      </c>
      <c r="B46" s="95" t="s">
        <v>252</v>
      </c>
      <c r="C46" s="99" t="s">
        <v>264</v>
      </c>
      <c r="D46" s="96">
        <v>0.0</v>
      </c>
      <c r="E46" s="95" t="s">
        <v>1047</v>
      </c>
      <c r="F46" s="94" t="s">
        <v>1048</v>
      </c>
    </row>
    <row r="47" ht="14.25" customHeight="1">
      <c r="A47" s="95" t="s">
        <v>1049</v>
      </c>
      <c r="B47" s="95" t="s">
        <v>252</v>
      </c>
      <c r="C47" s="99" t="s">
        <v>264</v>
      </c>
      <c r="D47" s="96">
        <v>2.0</v>
      </c>
      <c r="E47" s="95" t="s">
        <v>1047</v>
      </c>
      <c r="F47" s="94" t="s">
        <v>1050</v>
      </c>
    </row>
    <row r="48" ht="14.25" customHeight="1">
      <c r="A48" s="95" t="s">
        <v>1051</v>
      </c>
      <c r="B48" s="95" t="s">
        <v>252</v>
      </c>
      <c r="C48" s="99" t="s">
        <v>264</v>
      </c>
      <c r="D48" s="96">
        <v>0.0</v>
      </c>
      <c r="E48" s="95" t="s">
        <v>1047</v>
      </c>
      <c r="F48" s="94" t="s">
        <v>1052</v>
      </c>
    </row>
    <row r="49" ht="12.75" customHeight="1">
      <c r="A49" s="126" t="s">
        <v>1053</v>
      </c>
      <c r="B49" s="95" t="s">
        <v>252</v>
      </c>
      <c r="C49" s="99" t="s">
        <v>264</v>
      </c>
      <c r="D49" s="96">
        <v>0.0</v>
      </c>
      <c r="E49" s="95" t="s">
        <v>1047</v>
      </c>
      <c r="F49" s="97" t="s">
        <v>1054</v>
      </c>
    </row>
    <row r="50" ht="14.25" customHeight="1">
      <c r="A50" s="94" t="s">
        <v>1055</v>
      </c>
      <c r="B50" s="95" t="s">
        <v>252</v>
      </c>
      <c r="C50" s="99" t="s">
        <v>264</v>
      </c>
      <c r="D50" s="96">
        <v>0.0</v>
      </c>
      <c r="E50" s="95" t="s">
        <v>254</v>
      </c>
      <c r="F50" s="97" t="s">
        <v>1056</v>
      </c>
    </row>
    <row r="51" ht="12.75" customHeight="1">
      <c r="A51" s="126" t="s">
        <v>1057</v>
      </c>
      <c r="B51" s="95" t="s">
        <v>263</v>
      </c>
      <c r="C51" s="99" t="s">
        <v>264</v>
      </c>
      <c r="D51" s="96">
        <v>0.0</v>
      </c>
      <c r="E51" s="95" t="s">
        <v>254</v>
      </c>
      <c r="F51" s="97" t="s">
        <v>1058</v>
      </c>
    </row>
    <row r="52" ht="12.75" customHeight="1">
      <c r="A52" s="126" t="s">
        <v>1059</v>
      </c>
      <c r="B52" s="97" t="s">
        <v>1060</v>
      </c>
      <c r="C52" s="97" t="s">
        <v>626</v>
      </c>
      <c r="D52" s="97">
        <v>0.0</v>
      </c>
      <c r="E52" s="95" t="s">
        <v>254</v>
      </c>
      <c r="F52" s="97" t="s">
        <v>1061</v>
      </c>
    </row>
    <row r="53" ht="12.75" customHeight="1">
      <c r="A53" s="126" t="s">
        <v>1062</v>
      </c>
      <c r="B53" s="95" t="s">
        <v>252</v>
      </c>
      <c r="C53" s="97" t="s">
        <v>870</v>
      </c>
      <c r="D53" s="96">
        <v>0.0</v>
      </c>
      <c r="E53" s="95" t="s">
        <v>254</v>
      </c>
      <c r="F53" s="97" t="s">
        <v>1063</v>
      </c>
    </row>
    <row r="54" ht="12.75" customHeight="1">
      <c r="A54" s="126" t="s">
        <v>1064</v>
      </c>
      <c r="B54" s="94" t="s">
        <v>1065</v>
      </c>
      <c r="C54" s="94" t="s">
        <v>524</v>
      </c>
      <c r="D54" s="97">
        <v>2.0</v>
      </c>
      <c r="E54" s="95" t="s">
        <v>254</v>
      </c>
      <c r="F54" s="97" t="s">
        <v>1066</v>
      </c>
    </row>
    <row r="55" ht="12.75" customHeight="1">
      <c r="A55" s="126" t="s">
        <v>1067</v>
      </c>
      <c r="B55" s="95" t="s">
        <v>252</v>
      </c>
      <c r="C55" s="95" t="s">
        <v>497</v>
      </c>
      <c r="D55" s="97">
        <v>2.0</v>
      </c>
      <c r="E55" s="95" t="s">
        <v>254</v>
      </c>
      <c r="F55" s="97" t="s">
        <v>1068</v>
      </c>
    </row>
    <row r="56" ht="12.75" customHeight="1">
      <c r="A56" s="126" t="s">
        <v>1069</v>
      </c>
      <c r="B56" s="97" t="s">
        <v>1060</v>
      </c>
      <c r="C56" s="97" t="s">
        <v>1070</v>
      </c>
      <c r="E56" s="95" t="s">
        <v>254</v>
      </c>
      <c r="F56" s="97" t="s">
        <v>1071</v>
      </c>
    </row>
    <row r="57" ht="12.75" customHeight="1">
      <c r="A57" s="97" t="s">
        <v>1072</v>
      </c>
      <c r="B57" s="95" t="s">
        <v>263</v>
      </c>
      <c r="D57" s="97">
        <v>0.0</v>
      </c>
      <c r="E57" s="110" t="s">
        <v>1073</v>
      </c>
      <c r="F57" s="97" t="s">
        <v>1074</v>
      </c>
    </row>
    <row r="58" ht="12.75" customHeight="1">
      <c r="A58" s="97" t="s">
        <v>1075</v>
      </c>
      <c r="B58" s="94" t="s">
        <v>1065</v>
      </c>
      <c r="C58" s="97" t="s">
        <v>497</v>
      </c>
      <c r="D58" s="97">
        <v>0.0</v>
      </c>
      <c r="E58" s="110" t="s">
        <v>1076</v>
      </c>
      <c r="F58" s="97" t="s">
        <v>1077</v>
      </c>
    </row>
    <row r="59" ht="12.75" customHeight="1">
      <c r="A59" s="97" t="s">
        <v>1078</v>
      </c>
      <c r="B59" s="97" t="s">
        <v>252</v>
      </c>
      <c r="C59" s="97" t="s">
        <v>897</v>
      </c>
      <c r="D59" s="97">
        <v>0.0</v>
      </c>
      <c r="E59" s="97" t="s">
        <v>1079</v>
      </c>
      <c r="F59" s="97" t="s">
        <v>1080</v>
      </c>
    </row>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73.38"/>
    <col customWidth="1" min="7" max="26" width="7.63"/>
  </cols>
  <sheetData>
    <row r="1" ht="14.25" customHeight="1">
      <c r="A1" s="95" t="s">
        <v>1081</v>
      </c>
      <c r="F1" s="96"/>
    </row>
    <row r="2" ht="14.25" customHeight="1">
      <c r="A2" s="95" t="s">
        <v>1082</v>
      </c>
      <c r="F2" s="96"/>
    </row>
    <row r="3" ht="14.25" customHeight="1">
      <c r="A3" s="95" t="s">
        <v>33</v>
      </c>
      <c r="B3" s="95" t="s">
        <v>38</v>
      </c>
      <c r="C3" s="95" t="s">
        <v>42</v>
      </c>
      <c r="D3" s="95" t="s">
        <v>48</v>
      </c>
      <c r="F3" s="96"/>
    </row>
    <row r="4" ht="12.75" customHeight="1">
      <c r="A4" s="113">
        <v>3.0</v>
      </c>
      <c r="B4" s="113">
        <v>3.0</v>
      </c>
      <c r="C4" s="113">
        <v>3.0</v>
      </c>
      <c r="D4" s="113">
        <v>3.0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-1.0</v>
      </c>
      <c r="C8" s="114">
        <v>0.0</v>
      </c>
      <c r="D8" s="114">
        <v>2.0</v>
      </c>
      <c r="E8" s="114">
        <v>3.0</v>
      </c>
      <c r="F8" s="114">
        <v>4.0</v>
      </c>
      <c r="G8" s="114">
        <v>5.0</v>
      </c>
      <c r="H8" s="114">
        <v>6.0</v>
      </c>
      <c r="I8" s="114">
        <v>7.0</v>
      </c>
      <c r="J8" s="114">
        <v>8.0</v>
      </c>
      <c r="K8" s="96">
        <v>9.0</v>
      </c>
    </row>
    <row r="9" ht="12.75" customHeight="1">
      <c r="A9" s="106" t="s">
        <v>17</v>
      </c>
      <c r="B9" s="114">
        <v>-1.0</v>
      </c>
      <c r="C9" s="114">
        <v>0.0</v>
      </c>
      <c r="D9" s="114">
        <v>2.0</v>
      </c>
      <c r="E9" s="114">
        <v>3.0</v>
      </c>
      <c r="F9" s="114">
        <v>4.0</v>
      </c>
      <c r="G9" s="114">
        <v>5.0</v>
      </c>
      <c r="H9" s="114">
        <v>6.0</v>
      </c>
      <c r="I9" s="114">
        <v>7.0</v>
      </c>
      <c r="J9" s="114">
        <v>8.0</v>
      </c>
      <c r="K9" s="96">
        <v>9.0</v>
      </c>
    </row>
    <row r="10" ht="12.75" customHeight="1">
      <c r="A10" s="106" t="s">
        <v>22</v>
      </c>
      <c r="B10" s="114">
        <v>-1.0</v>
      </c>
      <c r="C10" s="114">
        <v>2.0</v>
      </c>
      <c r="D10" s="114">
        <v>3.0</v>
      </c>
      <c r="E10" s="114">
        <v>4.0</v>
      </c>
      <c r="F10" s="114">
        <v>7.0</v>
      </c>
      <c r="G10" s="114">
        <v>9.0</v>
      </c>
      <c r="H10" s="114">
        <v>11.0</v>
      </c>
      <c r="I10" s="114">
        <v>13.0</v>
      </c>
      <c r="J10" s="114">
        <v>15.0</v>
      </c>
      <c r="K10" s="96">
        <v>17.0</v>
      </c>
    </row>
    <row r="11" ht="12.75" customHeight="1">
      <c r="A11" s="106" t="s">
        <v>27</v>
      </c>
      <c r="B11" s="114">
        <v>-2.0</v>
      </c>
      <c r="C11" s="114">
        <v>-1.0</v>
      </c>
      <c r="D11" s="114">
        <v>0.0</v>
      </c>
      <c r="E11" s="114">
        <v>1.0</v>
      </c>
      <c r="F11" s="114">
        <v>3.0</v>
      </c>
      <c r="G11" s="114">
        <v>4.0</v>
      </c>
      <c r="H11" s="114">
        <v>5.0</v>
      </c>
      <c r="I11" s="114">
        <v>6.0</v>
      </c>
      <c r="J11" s="114">
        <v>7.0</v>
      </c>
      <c r="K11" s="96">
        <v>8.0</v>
      </c>
    </row>
    <row r="12" ht="12.75" customHeight="1">
      <c r="A12" s="106" t="s">
        <v>31</v>
      </c>
      <c r="B12" s="114">
        <v>0.0</v>
      </c>
      <c r="C12" s="114">
        <v>5.0</v>
      </c>
      <c r="D12" s="114">
        <v>11.0</v>
      </c>
      <c r="E12" s="114">
        <v>17.0</v>
      </c>
      <c r="F12" s="114">
        <v>20.0</v>
      </c>
      <c r="G12" s="114">
        <v>22.0</v>
      </c>
      <c r="H12" s="114">
        <v>24.0</v>
      </c>
      <c r="I12" s="114">
        <v>26.0</v>
      </c>
      <c r="J12" s="114">
        <v>28.0</v>
      </c>
      <c r="K12" s="96">
        <v>30.0</v>
      </c>
    </row>
    <row r="13" ht="12.75" customHeight="1">
      <c r="A13" s="106" t="s">
        <v>35</v>
      </c>
      <c r="B13" s="114">
        <v>4.0</v>
      </c>
      <c r="C13" s="114">
        <v>6.0</v>
      </c>
      <c r="D13" s="114">
        <v>8.0</v>
      </c>
      <c r="E13" s="114">
        <v>11.0</v>
      </c>
      <c r="F13" s="114">
        <v>14.0</v>
      </c>
      <c r="G13" s="114">
        <v>16.0</v>
      </c>
      <c r="H13" s="114">
        <v>17.0</v>
      </c>
      <c r="I13" s="114">
        <v>18.0</v>
      </c>
      <c r="J13" s="114">
        <v>19.0</v>
      </c>
      <c r="K13" s="96">
        <v>20.0</v>
      </c>
    </row>
    <row r="14" ht="12.75" customHeight="1">
      <c r="A14" s="106" t="s">
        <v>40</v>
      </c>
      <c r="B14" s="114">
        <v>0.0</v>
      </c>
      <c r="C14" s="114">
        <v>0.0</v>
      </c>
      <c r="D14" s="114">
        <v>0.0</v>
      </c>
      <c r="E14" s="114">
        <v>0.0</v>
      </c>
      <c r="F14" s="114">
        <v>0.0</v>
      </c>
      <c r="G14" s="114">
        <v>0.0</v>
      </c>
      <c r="H14" s="114">
        <v>0.0</v>
      </c>
      <c r="I14" s="114">
        <v>0.0</v>
      </c>
      <c r="J14" s="114">
        <v>0.0</v>
      </c>
      <c r="K14" s="96">
        <v>1.0</v>
      </c>
    </row>
    <row r="15" ht="12.75" customHeight="1">
      <c r="F15" s="96"/>
    </row>
    <row r="16" ht="14.25" customHeight="1">
      <c r="A16" s="95" t="s">
        <v>1083</v>
      </c>
      <c r="F16" s="96"/>
    </row>
    <row r="17" ht="14.25" customHeight="1">
      <c r="A17" s="95" t="s">
        <v>468</v>
      </c>
      <c r="F17" s="96"/>
    </row>
    <row r="18" ht="14.25" customHeight="1">
      <c r="A18" s="115" t="s">
        <v>1084</v>
      </c>
      <c r="F18" s="96"/>
    </row>
    <row r="19" ht="12.75" customHeight="1">
      <c r="F19" s="96"/>
    </row>
    <row r="20" ht="14.25" customHeight="1">
      <c r="A20" s="95" t="s">
        <v>470</v>
      </c>
      <c r="F20" s="96"/>
    </row>
    <row r="21" ht="14.25" customHeight="1">
      <c r="A21" s="115" t="s">
        <v>577</v>
      </c>
      <c r="F21" s="96"/>
    </row>
    <row r="22" ht="12.75" customHeight="1">
      <c r="F22" s="96"/>
    </row>
    <row r="23" ht="14.25" customHeight="1">
      <c r="A23" s="95" t="s">
        <v>58</v>
      </c>
      <c r="B23" s="95" t="s">
        <v>37</v>
      </c>
      <c r="C23" s="95" t="s">
        <v>59</v>
      </c>
      <c r="D23" s="95" t="s">
        <v>60</v>
      </c>
      <c r="E23" s="95" t="s">
        <v>472</v>
      </c>
      <c r="F23" s="95" t="s">
        <v>54</v>
      </c>
    </row>
    <row r="24" ht="14.25" customHeight="1">
      <c r="A24" s="108" t="s">
        <v>1081</v>
      </c>
      <c r="B24" s="95"/>
      <c r="C24" s="95"/>
      <c r="D24" s="95"/>
      <c r="E24" s="95"/>
      <c r="F24" s="95"/>
    </row>
    <row r="25" ht="14.25" customHeight="1">
      <c r="A25" s="95" t="s">
        <v>686</v>
      </c>
      <c r="F25" s="96"/>
    </row>
    <row r="26" ht="71.25" customHeight="1">
      <c r="A26" s="95" t="s">
        <v>1085</v>
      </c>
      <c r="B26" s="95" t="s">
        <v>263</v>
      </c>
      <c r="C26" s="99" t="s">
        <v>264</v>
      </c>
      <c r="D26" s="96">
        <v>0.0</v>
      </c>
      <c r="E26" s="95" t="s">
        <v>254</v>
      </c>
      <c r="F26" s="100" t="s">
        <v>1086</v>
      </c>
    </row>
    <row r="27" ht="28.5" customHeight="1">
      <c r="A27" s="95" t="s">
        <v>1087</v>
      </c>
      <c r="B27" s="95" t="s">
        <v>263</v>
      </c>
      <c r="C27" s="99" t="s">
        <v>264</v>
      </c>
      <c r="D27" s="96">
        <v>0.0</v>
      </c>
      <c r="E27" s="95" t="s">
        <v>254</v>
      </c>
      <c r="F27" s="100" t="s">
        <v>1088</v>
      </c>
    </row>
    <row r="28" ht="42.75" customHeight="1">
      <c r="A28" s="95" t="s">
        <v>1089</v>
      </c>
      <c r="B28" s="95" t="s">
        <v>724</v>
      </c>
      <c r="C28" s="95" t="s">
        <v>1090</v>
      </c>
      <c r="D28" s="96">
        <v>0.0</v>
      </c>
      <c r="E28" s="95" t="s">
        <v>254</v>
      </c>
      <c r="F28" s="127" t="s">
        <v>1091</v>
      </c>
    </row>
    <row r="29" ht="42.75" customHeight="1">
      <c r="A29" s="95" t="s">
        <v>1092</v>
      </c>
      <c r="B29" s="95" t="s">
        <v>998</v>
      </c>
      <c r="C29" s="99" t="s">
        <v>264</v>
      </c>
      <c r="D29" s="96">
        <v>0.0</v>
      </c>
      <c r="E29" s="95" t="s">
        <v>254</v>
      </c>
      <c r="F29" s="127" t="s">
        <v>1093</v>
      </c>
    </row>
    <row r="30" ht="85.5" customHeight="1">
      <c r="A30" s="95" t="s">
        <v>1094</v>
      </c>
      <c r="B30" s="95" t="s">
        <v>634</v>
      </c>
      <c r="C30" s="95" t="s">
        <v>563</v>
      </c>
      <c r="D30" s="96">
        <v>0.0</v>
      </c>
      <c r="E30" s="95" t="s">
        <v>254</v>
      </c>
      <c r="F30" s="127" t="s">
        <v>1095</v>
      </c>
    </row>
    <row r="31" ht="195.0" customHeight="1">
      <c r="A31" s="95" t="s">
        <v>1096</v>
      </c>
      <c r="B31" s="95" t="s">
        <v>321</v>
      </c>
      <c r="C31" s="95" t="s">
        <v>1097</v>
      </c>
      <c r="D31" s="96">
        <v>0.0</v>
      </c>
      <c r="E31" s="95" t="s">
        <v>254</v>
      </c>
      <c r="F31" s="127" t="s">
        <v>1098</v>
      </c>
    </row>
    <row r="32" ht="28.5" customHeight="1">
      <c r="A32" s="95" t="s">
        <v>1099</v>
      </c>
      <c r="B32" s="95" t="s">
        <v>321</v>
      </c>
      <c r="C32" s="95" t="s">
        <v>639</v>
      </c>
      <c r="D32" s="96">
        <v>0.0</v>
      </c>
      <c r="E32" s="95" t="s">
        <v>1100</v>
      </c>
      <c r="F32" s="127" t="s">
        <v>1101</v>
      </c>
    </row>
    <row r="33" ht="28.5" customHeight="1">
      <c r="A33" s="95" t="s">
        <v>1102</v>
      </c>
      <c r="B33" s="95" t="s">
        <v>321</v>
      </c>
      <c r="C33" s="95" t="s">
        <v>494</v>
      </c>
      <c r="D33" s="96">
        <v>0.0</v>
      </c>
      <c r="E33" s="95" t="s">
        <v>1103</v>
      </c>
      <c r="F33" s="127" t="s">
        <v>1104</v>
      </c>
    </row>
    <row r="34" ht="38.25" customHeight="1">
      <c r="A34" s="95" t="s">
        <v>1105</v>
      </c>
      <c r="B34" s="95" t="s">
        <v>599</v>
      </c>
      <c r="C34" s="95" t="s">
        <v>1106</v>
      </c>
      <c r="D34" s="96">
        <v>2.0</v>
      </c>
      <c r="E34" s="95" t="s">
        <v>1103</v>
      </c>
      <c r="F34" s="128" t="s">
        <v>1107</v>
      </c>
    </row>
    <row r="35" ht="14.25" customHeight="1">
      <c r="A35" s="95" t="s">
        <v>1108</v>
      </c>
      <c r="B35" s="95" t="s">
        <v>1109</v>
      </c>
      <c r="C35" s="95" t="s">
        <v>639</v>
      </c>
      <c r="D35" s="96">
        <v>0.0</v>
      </c>
      <c r="E35" s="95" t="s">
        <v>1110</v>
      </c>
      <c r="F35" s="127" t="s">
        <v>1111</v>
      </c>
    </row>
    <row r="36" ht="14.25" customHeight="1">
      <c r="A36" s="95" t="s">
        <v>1112</v>
      </c>
      <c r="B36" s="95" t="s">
        <v>281</v>
      </c>
      <c r="C36" s="95" t="s">
        <v>1113</v>
      </c>
      <c r="D36" s="95" t="s">
        <v>1114</v>
      </c>
      <c r="E36" s="95" t="s">
        <v>1110</v>
      </c>
      <c r="F36" s="95" t="s">
        <v>1115</v>
      </c>
    </row>
    <row r="37" ht="14.25" customHeight="1">
      <c r="A37" s="95" t="s">
        <v>1116</v>
      </c>
      <c r="F37" s="96"/>
    </row>
    <row r="38" ht="57.0" customHeight="1">
      <c r="A38" s="95" t="s">
        <v>1117</v>
      </c>
      <c r="B38" s="95" t="s">
        <v>634</v>
      </c>
      <c r="C38" s="95" t="s">
        <v>264</v>
      </c>
      <c r="D38" s="96">
        <v>0.0</v>
      </c>
      <c r="E38" s="95" t="s">
        <v>1118</v>
      </c>
      <c r="F38" s="127" t="s">
        <v>1119</v>
      </c>
    </row>
    <row r="39" ht="14.25" customHeight="1">
      <c r="A39" s="95" t="s">
        <v>1120</v>
      </c>
      <c r="B39" s="95" t="s">
        <v>263</v>
      </c>
      <c r="C39" s="95" t="s">
        <v>264</v>
      </c>
      <c r="D39" s="96">
        <v>0.0</v>
      </c>
      <c r="E39" s="95" t="s">
        <v>1110</v>
      </c>
      <c r="F39" s="95" t="s">
        <v>1121</v>
      </c>
    </row>
    <row r="40" ht="42.75" customHeight="1">
      <c r="A40" s="95" t="s">
        <v>1122</v>
      </c>
      <c r="B40" s="95" t="s">
        <v>1123</v>
      </c>
      <c r="C40" s="95" t="s">
        <v>1124</v>
      </c>
      <c r="D40" s="96">
        <v>0.0</v>
      </c>
      <c r="E40" s="95" t="s">
        <v>1100</v>
      </c>
      <c r="F40" s="127" t="s">
        <v>1125</v>
      </c>
    </row>
    <row r="41" ht="14.25" customHeight="1">
      <c r="A41" s="95" t="s">
        <v>1126</v>
      </c>
      <c r="B41" s="95" t="s">
        <v>263</v>
      </c>
      <c r="C41" s="95" t="s">
        <v>1127</v>
      </c>
      <c r="D41" s="96">
        <v>0.0</v>
      </c>
      <c r="E41" s="95" t="s">
        <v>1128</v>
      </c>
      <c r="F41" s="95" t="s">
        <v>1129</v>
      </c>
    </row>
    <row r="42" ht="14.25" customHeight="1">
      <c r="A42" s="95" t="s">
        <v>1130</v>
      </c>
      <c r="B42" s="95" t="s">
        <v>263</v>
      </c>
      <c r="C42" s="99" t="s">
        <v>264</v>
      </c>
      <c r="D42" s="96">
        <v>0.0</v>
      </c>
      <c r="E42" s="95" t="s">
        <v>1103</v>
      </c>
      <c r="F42" s="95" t="s">
        <v>1131</v>
      </c>
    </row>
    <row r="43" ht="171.0" customHeight="1">
      <c r="A43" s="95" t="s">
        <v>1132</v>
      </c>
      <c r="B43" s="95" t="s">
        <v>634</v>
      </c>
      <c r="C43" s="95" t="s">
        <v>1133</v>
      </c>
      <c r="D43" s="96">
        <v>0.0</v>
      </c>
      <c r="E43" s="95" t="s">
        <v>1100</v>
      </c>
      <c r="F43" s="127" t="s">
        <v>1134</v>
      </c>
    </row>
    <row r="44" ht="12.75" customHeight="1">
      <c r="F44" s="96"/>
    </row>
    <row r="45" ht="12.75" customHeight="1">
      <c r="F45" s="96"/>
    </row>
    <row r="46" ht="12.75" customHeight="1">
      <c r="F46" s="96"/>
    </row>
    <row r="47" ht="12.75" customHeight="1">
      <c r="F47" s="96"/>
    </row>
    <row r="48" ht="12.75" customHeight="1">
      <c r="F48" s="96"/>
    </row>
    <row r="49" ht="12.75" customHeight="1">
      <c r="F49" s="96"/>
    </row>
    <row r="50" ht="12.75" customHeight="1">
      <c r="F50" s="96"/>
    </row>
    <row r="51" ht="12.75" customHeight="1">
      <c r="F51" s="96"/>
    </row>
    <row r="52" ht="12.75" customHeight="1">
      <c r="F52" s="96"/>
    </row>
    <row r="53" ht="12.75" customHeight="1">
      <c r="F53" s="96"/>
    </row>
    <row r="54" ht="12.75" customHeight="1">
      <c r="F54" s="96"/>
    </row>
    <row r="55" ht="12.75" customHeight="1">
      <c r="F55" s="96"/>
    </row>
    <row r="56" ht="12.75" customHeight="1">
      <c r="F56" s="96"/>
    </row>
    <row r="57" ht="12.75" customHeight="1">
      <c r="F57" s="96"/>
    </row>
    <row r="58" ht="12.75" customHeight="1">
      <c r="F58" s="96"/>
    </row>
    <row r="59" ht="12.75" customHeight="1">
      <c r="F59" s="96"/>
    </row>
    <row r="60" ht="12.75" customHeight="1">
      <c r="F60" s="96"/>
    </row>
    <row r="61" ht="12.75" customHeight="1">
      <c r="F61" s="96"/>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2" width="7.63"/>
    <col customWidth="1" min="3" max="3" width="9.75"/>
    <col customWidth="1" min="4" max="5" width="7.63"/>
    <col customWidth="1" min="6" max="6" width="64.5"/>
    <col customWidth="1" min="7" max="26" width="7.63"/>
  </cols>
  <sheetData>
    <row r="1" ht="14.25" customHeight="1">
      <c r="A1" s="95" t="s">
        <v>1135</v>
      </c>
      <c r="C1" s="96"/>
      <c r="F1" s="96"/>
    </row>
    <row r="2" ht="14.25" customHeight="1">
      <c r="A2" s="95" t="s">
        <v>1136</v>
      </c>
      <c r="C2" s="96"/>
      <c r="F2" s="96"/>
    </row>
    <row r="3" ht="14.25" customHeight="1">
      <c r="A3" s="95" t="s">
        <v>33</v>
      </c>
      <c r="B3" s="95" t="s">
        <v>38</v>
      </c>
      <c r="C3" s="95" t="s">
        <v>42</v>
      </c>
      <c r="D3" s="95" t="s">
        <v>48</v>
      </c>
      <c r="F3" s="96"/>
    </row>
    <row r="4" ht="12.75" customHeight="1">
      <c r="A4" s="113">
        <v>2.0</v>
      </c>
      <c r="B4" s="113">
        <v>3.0</v>
      </c>
      <c r="C4" s="113">
        <v>5.0</v>
      </c>
      <c r="D4" s="113">
        <v>2.0</v>
      </c>
      <c r="F4" s="96"/>
    </row>
    <row r="5" ht="12.75" customHeight="1">
      <c r="C5" s="96"/>
      <c r="F5" s="96"/>
    </row>
    <row r="6" ht="33.0" customHeight="1">
      <c r="A6" s="105" t="s">
        <v>465</v>
      </c>
      <c r="C6" s="96"/>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-1.0</v>
      </c>
      <c r="C8" s="114">
        <v>0.0</v>
      </c>
      <c r="D8" s="114">
        <v>1.0</v>
      </c>
      <c r="E8" s="114">
        <v>2.0</v>
      </c>
      <c r="F8" s="114">
        <v>3.0</v>
      </c>
      <c r="G8" s="114">
        <v>4.0</v>
      </c>
      <c r="H8" s="114">
        <v>5.0</v>
      </c>
      <c r="I8" s="114">
        <v>6.0</v>
      </c>
      <c r="J8" s="114">
        <v>7.0</v>
      </c>
      <c r="K8" s="96">
        <v>8.0</v>
      </c>
    </row>
    <row r="9" ht="12.75" customHeight="1">
      <c r="A9" s="106" t="s">
        <v>17</v>
      </c>
      <c r="B9" s="114">
        <v>0.0</v>
      </c>
      <c r="C9" s="114">
        <v>1.0</v>
      </c>
      <c r="D9" s="114">
        <v>2.0</v>
      </c>
      <c r="E9" s="114">
        <v>3.0</v>
      </c>
      <c r="F9" s="114">
        <v>6.0</v>
      </c>
      <c r="G9" s="114">
        <v>8.0</v>
      </c>
      <c r="H9" s="114">
        <v>10.0</v>
      </c>
      <c r="I9" s="114">
        <v>12.0</v>
      </c>
      <c r="J9" s="114">
        <v>14.0</v>
      </c>
      <c r="K9" s="96">
        <v>16.0</v>
      </c>
    </row>
    <row r="10" ht="12.75" customHeight="1">
      <c r="A10" s="106" t="s">
        <v>22</v>
      </c>
      <c r="B10" s="114">
        <v>0.0</v>
      </c>
      <c r="C10" s="114">
        <v>1.0</v>
      </c>
      <c r="D10" s="114">
        <v>2.0</v>
      </c>
      <c r="E10" s="114">
        <v>3.0</v>
      </c>
      <c r="F10" s="114">
        <v>6.0</v>
      </c>
      <c r="G10" s="114">
        <v>8.0</v>
      </c>
      <c r="H10" s="114">
        <v>10.0</v>
      </c>
      <c r="I10" s="114">
        <v>12.0</v>
      </c>
      <c r="J10" s="114">
        <v>14.0</v>
      </c>
      <c r="K10" s="96">
        <v>16.0</v>
      </c>
    </row>
    <row r="11" ht="12.75" customHeight="1">
      <c r="A11" s="106" t="s">
        <v>27</v>
      </c>
      <c r="B11" s="114">
        <v>-1.0</v>
      </c>
      <c r="C11" s="114">
        <v>0.0</v>
      </c>
      <c r="D11" s="114">
        <v>1.0</v>
      </c>
      <c r="E11" s="114">
        <v>2.0</v>
      </c>
      <c r="F11" s="114">
        <v>3.0</v>
      </c>
      <c r="G11" s="114">
        <v>4.0</v>
      </c>
      <c r="H11" s="114">
        <v>5.0</v>
      </c>
      <c r="I11" s="114">
        <v>6.0</v>
      </c>
      <c r="J11" s="114">
        <v>7.0</v>
      </c>
      <c r="K11" s="96">
        <v>8.0</v>
      </c>
    </row>
    <row r="12" ht="12.75" customHeight="1">
      <c r="A12" s="106" t="s">
        <v>31</v>
      </c>
      <c r="B12" s="114">
        <v>0.0</v>
      </c>
      <c r="C12" s="114">
        <v>3.0</v>
      </c>
      <c r="D12" s="114">
        <v>9.0</v>
      </c>
      <c r="E12" s="114">
        <v>15.0</v>
      </c>
      <c r="F12" s="114">
        <v>20.0</v>
      </c>
      <c r="G12" s="114">
        <v>22.0</v>
      </c>
      <c r="H12" s="114">
        <v>24.0</v>
      </c>
      <c r="I12" s="114">
        <v>26.0</v>
      </c>
      <c r="J12" s="114">
        <v>28.0</v>
      </c>
      <c r="K12" s="96">
        <v>30.0</v>
      </c>
    </row>
    <row r="13" ht="12.75" customHeight="1">
      <c r="A13" s="106" t="s">
        <v>35</v>
      </c>
      <c r="B13" s="114">
        <v>8.0</v>
      </c>
      <c r="C13" s="114">
        <v>11.0</v>
      </c>
      <c r="D13" s="114">
        <v>13.0</v>
      </c>
      <c r="E13" s="114">
        <v>15.0</v>
      </c>
      <c r="F13" s="114">
        <v>17.0</v>
      </c>
      <c r="G13" s="114">
        <v>20.0</v>
      </c>
      <c r="H13" s="114">
        <v>23.0</v>
      </c>
      <c r="I13" s="114">
        <v>26.0</v>
      </c>
      <c r="J13" s="114">
        <v>28.0</v>
      </c>
      <c r="K13" s="96">
        <v>30.0</v>
      </c>
    </row>
    <row r="14" ht="12.75" customHeight="1">
      <c r="A14" s="106" t="s">
        <v>40</v>
      </c>
      <c r="B14" s="114">
        <v>0.0</v>
      </c>
      <c r="C14" s="114">
        <v>0.0</v>
      </c>
      <c r="D14" s="114">
        <v>0.0</v>
      </c>
      <c r="E14" s="114">
        <v>0.0</v>
      </c>
      <c r="F14" s="114">
        <v>0.0</v>
      </c>
      <c r="G14" s="114">
        <v>0.0</v>
      </c>
      <c r="H14" s="114">
        <v>0.0</v>
      </c>
      <c r="I14" s="114">
        <v>0.0</v>
      </c>
      <c r="J14" s="114">
        <v>0.0</v>
      </c>
      <c r="K14" s="96">
        <v>1.0</v>
      </c>
    </row>
    <row r="15" ht="12.75" customHeight="1">
      <c r="C15" s="96"/>
      <c r="F15" s="96"/>
    </row>
    <row r="16" ht="14.25" customHeight="1">
      <c r="A16" s="95" t="s">
        <v>1137</v>
      </c>
      <c r="C16" s="96"/>
      <c r="F16" s="96"/>
    </row>
    <row r="17" ht="14.25" customHeight="1">
      <c r="A17" s="95" t="s">
        <v>468</v>
      </c>
      <c r="C17" s="96"/>
      <c r="F17" s="96"/>
    </row>
    <row r="18" ht="14.25" customHeight="1">
      <c r="A18" s="115" t="s">
        <v>1138</v>
      </c>
      <c r="C18" s="96"/>
      <c r="F18" s="96"/>
    </row>
    <row r="19" ht="12.75" customHeight="1">
      <c r="C19" s="96"/>
      <c r="F19" s="96"/>
    </row>
    <row r="20" ht="14.25" customHeight="1">
      <c r="A20" s="95" t="s">
        <v>470</v>
      </c>
      <c r="C20" s="96"/>
      <c r="F20" s="96"/>
    </row>
    <row r="21" ht="14.25" customHeight="1">
      <c r="A21" s="115" t="s">
        <v>577</v>
      </c>
      <c r="C21" s="96"/>
      <c r="F21" s="96"/>
    </row>
    <row r="22" ht="12.75" customHeight="1">
      <c r="C22" s="96"/>
      <c r="F22" s="96"/>
    </row>
    <row r="23" ht="14.25" customHeight="1">
      <c r="A23" s="95" t="s">
        <v>58</v>
      </c>
      <c r="B23" s="95" t="s">
        <v>37</v>
      </c>
      <c r="C23" s="95" t="s">
        <v>59</v>
      </c>
      <c r="D23" s="95" t="s">
        <v>60</v>
      </c>
      <c r="E23" s="95" t="s">
        <v>472</v>
      </c>
      <c r="F23" s="95" t="s">
        <v>54</v>
      </c>
    </row>
    <row r="24" ht="14.25" customHeight="1">
      <c r="A24" s="108" t="s">
        <v>1135</v>
      </c>
      <c r="B24" s="95"/>
      <c r="C24" s="95"/>
      <c r="D24" s="95"/>
      <c r="E24" s="95"/>
      <c r="F24" s="95"/>
    </row>
    <row r="25" ht="14.25" customHeight="1">
      <c r="A25" s="95" t="s">
        <v>686</v>
      </c>
      <c r="C25" s="96"/>
      <c r="F25" s="96"/>
    </row>
    <row r="26" ht="85.5" customHeight="1">
      <c r="A26" s="95" t="s">
        <v>1139</v>
      </c>
      <c r="B26" s="95" t="s">
        <v>263</v>
      </c>
      <c r="C26" s="99" t="s">
        <v>264</v>
      </c>
      <c r="D26" s="96">
        <v>0.0</v>
      </c>
      <c r="E26" s="95" t="s">
        <v>448</v>
      </c>
      <c r="F26" s="100" t="s">
        <v>1140</v>
      </c>
    </row>
    <row r="27" ht="14.25" customHeight="1">
      <c r="A27" s="95" t="s">
        <v>1141</v>
      </c>
      <c r="B27" s="95" t="s">
        <v>281</v>
      </c>
      <c r="C27" s="95" t="s">
        <v>1142</v>
      </c>
      <c r="D27" s="96">
        <v>1.0</v>
      </c>
      <c r="E27" s="95" t="s">
        <v>448</v>
      </c>
      <c r="F27" s="95" t="s">
        <v>1143</v>
      </c>
    </row>
    <row r="28" ht="42.75" customHeight="1">
      <c r="A28" s="95" t="s">
        <v>1144</v>
      </c>
      <c r="B28" s="95" t="s">
        <v>473</v>
      </c>
      <c r="C28" s="95" t="s">
        <v>635</v>
      </c>
      <c r="D28" s="96">
        <v>0.0</v>
      </c>
      <c r="E28" s="95" t="s">
        <v>448</v>
      </c>
      <c r="F28" s="100" t="s">
        <v>1145</v>
      </c>
    </row>
    <row r="29" ht="14.25" customHeight="1">
      <c r="A29" s="95" t="s">
        <v>1146</v>
      </c>
      <c r="B29" s="95" t="s">
        <v>321</v>
      </c>
      <c r="C29" s="95" t="s">
        <v>606</v>
      </c>
      <c r="D29" s="96">
        <v>0.0</v>
      </c>
      <c r="E29" s="95" t="s">
        <v>448</v>
      </c>
      <c r="F29" s="95" t="s">
        <v>1147</v>
      </c>
    </row>
    <row r="30" ht="14.25" customHeight="1">
      <c r="A30" s="95" t="s">
        <v>1148</v>
      </c>
      <c r="B30" s="95" t="s">
        <v>1149</v>
      </c>
      <c r="C30" s="99" t="s">
        <v>264</v>
      </c>
      <c r="D30" s="96">
        <v>0.0</v>
      </c>
      <c r="E30" s="95" t="s">
        <v>448</v>
      </c>
      <c r="F30" s="95" t="s">
        <v>1150</v>
      </c>
    </row>
    <row r="31" ht="99.75" customHeight="1">
      <c r="A31" s="95" t="s">
        <v>1151</v>
      </c>
      <c r="B31" s="95" t="s">
        <v>321</v>
      </c>
      <c r="C31" s="95" t="s">
        <v>494</v>
      </c>
      <c r="D31" s="96">
        <v>0.0</v>
      </c>
      <c r="E31" s="95" t="s">
        <v>448</v>
      </c>
      <c r="F31" s="100" t="s">
        <v>1152</v>
      </c>
    </row>
    <row r="32" ht="14.25" customHeight="1">
      <c r="A32" s="95" t="s">
        <v>1153</v>
      </c>
      <c r="B32" s="95" t="s">
        <v>321</v>
      </c>
      <c r="C32" s="95" t="s">
        <v>639</v>
      </c>
      <c r="D32" s="96">
        <v>0.0</v>
      </c>
      <c r="E32" s="95" t="s">
        <v>448</v>
      </c>
      <c r="F32" s="94" t="s">
        <v>1154</v>
      </c>
    </row>
    <row r="33" ht="14.25" customHeight="1">
      <c r="A33" s="95" t="s">
        <v>1155</v>
      </c>
      <c r="B33" s="95" t="s">
        <v>473</v>
      </c>
      <c r="C33" s="95" t="s">
        <v>606</v>
      </c>
      <c r="D33" s="96">
        <v>0.0</v>
      </c>
      <c r="E33" s="95" t="s">
        <v>448</v>
      </c>
      <c r="F33" s="94" t="s">
        <v>1156</v>
      </c>
    </row>
    <row r="34" ht="14.25" customHeight="1">
      <c r="A34" s="95" t="s">
        <v>1157</v>
      </c>
      <c r="B34" s="95" t="s">
        <v>263</v>
      </c>
      <c r="C34" s="99" t="s">
        <v>264</v>
      </c>
      <c r="D34" s="96">
        <v>0.0</v>
      </c>
      <c r="E34" s="95" t="s">
        <v>448</v>
      </c>
      <c r="F34" s="95" t="s">
        <v>1158</v>
      </c>
    </row>
    <row r="35" ht="14.25" customHeight="1">
      <c r="A35" s="95" t="s">
        <v>1159</v>
      </c>
      <c r="B35" s="95" t="s">
        <v>263</v>
      </c>
      <c r="C35" s="99" t="s">
        <v>264</v>
      </c>
      <c r="D35" s="96">
        <v>0.0</v>
      </c>
      <c r="E35" s="95" t="s">
        <v>448</v>
      </c>
      <c r="F35" s="94" t="s">
        <v>1160</v>
      </c>
    </row>
    <row r="36" ht="14.25" customHeight="1">
      <c r="A36" s="95" t="s">
        <v>1161</v>
      </c>
      <c r="B36" s="95" t="s">
        <v>263</v>
      </c>
      <c r="C36" s="99" t="s">
        <v>264</v>
      </c>
      <c r="D36" s="96">
        <v>0.0</v>
      </c>
      <c r="E36" s="95" t="s">
        <v>448</v>
      </c>
      <c r="F36" s="95" t="s">
        <v>1162</v>
      </c>
    </row>
    <row r="37" ht="14.25" customHeight="1">
      <c r="A37" s="95" t="s">
        <v>1163</v>
      </c>
      <c r="B37" s="95" t="s">
        <v>263</v>
      </c>
      <c r="C37" s="99" t="s">
        <v>264</v>
      </c>
      <c r="D37" s="96">
        <v>0.0</v>
      </c>
      <c r="E37" s="95" t="s">
        <v>448</v>
      </c>
      <c r="F37" s="95" t="s">
        <v>1164</v>
      </c>
    </row>
    <row r="38" ht="14.25" customHeight="1">
      <c r="A38" s="95" t="s">
        <v>1165</v>
      </c>
      <c r="B38" s="95" t="s">
        <v>473</v>
      </c>
      <c r="C38" s="99" t="s">
        <v>1166</v>
      </c>
      <c r="D38" s="96">
        <v>0.0</v>
      </c>
      <c r="E38" s="95" t="s">
        <v>448</v>
      </c>
      <c r="F38" s="94" t="s">
        <v>1167</v>
      </c>
    </row>
    <row r="39" ht="14.25" customHeight="1">
      <c r="A39" s="94" t="s">
        <v>1168</v>
      </c>
      <c r="B39" s="95" t="s">
        <v>1169</v>
      </c>
      <c r="C39" s="95" t="s">
        <v>846</v>
      </c>
      <c r="D39" s="96">
        <v>0.0</v>
      </c>
      <c r="E39" s="95" t="s">
        <v>448</v>
      </c>
      <c r="F39" s="95" t="s">
        <v>1170</v>
      </c>
    </row>
    <row r="40" ht="14.25" customHeight="1">
      <c r="A40" s="95" t="s">
        <v>1171</v>
      </c>
      <c r="B40" s="95" t="s">
        <v>252</v>
      </c>
      <c r="C40" s="95" t="s">
        <v>1172</v>
      </c>
      <c r="D40" s="95">
        <v>0.0</v>
      </c>
      <c r="E40" s="95" t="s">
        <v>1173</v>
      </c>
      <c r="F40" s="94" t="s">
        <v>1174</v>
      </c>
    </row>
    <row r="41" ht="14.25" customHeight="1">
      <c r="A41" s="95" t="s">
        <v>1175</v>
      </c>
      <c r="B41" s="95" t="s">
        <v>252</v>
      </c>
      <c r="C41" s="95" t="s">
        <v>1176</v>
      </c>
      <c r="D41" s="96">
        <v>0.0</v>
      </c>
      <c r="E41" s="95" t="s">
        <v>448</v>
      </c>
      <c r="F41" s="95" t="s">
        <v>1177</v>
      </c>
    </row>
    <row r="42" ht="14.25" customHeight="1">
      <c r="A42" s="95" t="s">
        <v>1178</v>
      </c>
      <c r="B42" s="95" t="s">
        <v>321</v>
      </c>
      <c r="C42" s="95" t="s">
        <v>639</v>
      </c>
      <c r="D42" s="96">
        <v>0.0</v>
      </c>
      <c r="E42" s="95" t="s">
        <v>448</v>
      </c>
      <c r="F42" s="95" t="s">
        <v>1179</v>
      </c>
    </row>
    <row r="43" ht="14.25" customHeight="1">
      <c r="A43" s="95" t="s">
        <v>1180</v>
      </c>
      <c r="B43" s="95" t="s">
        <v>1181</v>
      </c>
      <c r="C43" s="95" t="s">
        <v>635</v>
      </c>
      <c r="D43" s="96">
        <v>0.0</v>
      </c>
      <c r="E43" s="95" t="s">
        <v>448</v>
      </c>
      <c r="F43" s="95" t="s">
        <v>1182</v>
      </c>
    </row>
    <row r="44" ht="42.75" customHeight="1">
      <c r="A44" s="95" t="s">
        <v>1183</v>
      </c>
      <c r="B44" s="95" t="s">
        <v>1184</v>
      </c>
      <c r="C44" s="95" t="s">
        <v>606</v>
      </c>
      <c r="D44" s="96">
        <v>0.0</v>
      </c>
      <c r="E44" s="95" t="s">
        <v>448</v>
      </c>
      <c r="F44" s="100" t="s">
        <v>1185</v>
      </c>
    </row>
    <row r="45" ht="14.25" customHeight="1">
      <c r="A45" s="95" t="s">
        <v>1186</v>
      </c>
      <c r="B45" s="95" t="s">
        <v>263</v>
      </c>
      <c r="C45" s="99" t="s">
        <v>264</v>
      </c>
      <c r="D45" s="96">
        <v>0.0</v>
      </c>
      <c r="E45" s="95" t="s">
        <v>1187</v>
      </c>
      <c r="F45" s="95" t="s">
        <v>1188</v>
      </c>
    </row>
    <row r="46" ht="14.25" customHeight="1">
      <c r="A46" s="95" t="s">
        <v>1189</v>
      </c>
      <c r="B46" s="95" t="s">
        <v>263</v>
      </c>
      <c r="C46" s="99" t="s">
        <v>264</v>
      </c>
      <c r="D46" s="96">
        <v>0.0</v>
      </c>
      <c r="E46" s="95" t="s">
        <v>1187</v>
      </c>
      <c r="F46" s="95" t="s">
        <v>1190</v>
      </c>
    </row>
    <row r="47" ht="14.25" customHeight="1">
      <c r="A47" s="95" t="s">
        <v>1191</v>
      </c>
      <c r="B47" s="95" t="s">
        <v>263</v>
      </c>
      <c r="C47" s="99" t="s">
        <v>264</v>
      </c>
      <c r="D47" s="96">
        <v>0.0</v>
      </c>
      <c r="E47" s="95" t="s">
        <v>1187</v>
      </c>
      <c r="F47" s="95" t="s">
        <v>1192</v>
      </c>
    </row>
    <row r="48" ht="14.25" customHeight="1">
      <c r="A48" s="95" t="s">
        <v>1193</v>
      </c>
      <c r="B48" s="95" t="s">
        <v>263</v>
      </c>
      <c r="C48" s="99" t="s">
        <v>264</v>
      </c>
      <c r="D48" s="96">
        <v>0.0</v>
      </c>
      <c r="E48" s="95" t="s">
        <v>1187</v>
      </c>
      <c r="F48" s="95" t="s">
        <v>1194</v>
      </c>
    </row>
    <row r="49" ht="14.25" customHeight="1">
      <c r="A49" s="95" t="s">
        <v>1195</v>
      </c>
      <c r="B49" s="95" t="s">
        <v>281</v>
      </c>
      <c r="C49" s="95" t="s">
        <v>964</v>
      </c>
      <c r="D49" s="96">
        <v>0.0</v>
      </c>
      <c r="E49" s="95" t="s">
        <v>1187</v>
      </c>
      <c r="F49" s="95" t="s">
        <v>1196</v>
      </c>
    </row>
    <row r="50" ht="85.5" customHeight="1">
      <c r="A50" s="95" t="s">
        <v>1197</v>
      </c>
      <c r="B50" s="95" t="s">
        <v>634</v>
      </c>
      <c r="C50" s="99" t="s">
        <v>264</v>
      </c>
      <c r="D50" s="96">
        <v>1.0</v>
      </c>
      <c r="E50" s="95" t="s">
        <v>448</v>
      </c>
      <c r="F50" s="100" t="s">
        <v>1198</v>
      </c>
    </row>
    <row r="51" ht="128.25" customHeight="1">
      <c r="A51" s="95" t="s">
        <v>1199</v>
      </c>
      <c r="B51" s="95" t="s">
        <v>634</v>
      </c>
      <c r="C51" s="95" t="s">
        <v>606</v>
      </c>
      <c r="D51" s="96">
        <v>0.0</v>
      </c>
      <c r="E51" s="95" t="s">
        <v>448</v>
      </c>
      <c r="F51" s="100" t="s">
        <v>1200</v>
      </c>
    </row>
    <row r="52" ht="142.5" customHeight="1">
      <c r="A52" s="95" t="s">
        <v>1201</v>
      </c>
      <c r="B52" s="95" t="s">
        <v>634</v>
      </c>
      <c r="C52" s="95" t="s">
        <v>1202</v>
      </c>
      <c r="D52" s="96">
        <v>0.0</v>
      </c>
      <c r="E52" s="95" t="s">
        <v>448</v>
      </c>
      <c r="F52" s="100" t="s">
        <v>1203</v>
      </c>
    </row>
    <row r="53" ht="114.0" customHeight="1">
      <c r="A53" s="95" t="s">
        <v>1204</v>
      </c>
      <c r="B53" s="95" t="s">
        <v>634</v>
      </c>
      <c r="C53" s="95" t="s">
        <v>1205</v>
      </c>
      <c r="D53" s="96">
        <v>0.0</v>
      </c>
      <c r="E53" s="95" t="s">
        <v>448</v>
      </c>
      <c r="F53" s="100" t="s">
        <v>1206</v>
      </c>
    </row>
    <row r="54" ht="99.75" customHeight="1">
      <c r="A54" s="95" t="s">
        <v>1207</v>
      </c>
      <c r="B54" s="95" t="s">
        <v>321</v>
      </c>
      <c r="C54" s="95" t="s">
        <v>1208</v>
      </c>
      <c r="D54" s="96">
        <v>0.0</v>
      </c>
      <c r="E54" s="95" t="s">
        <v>448</v>
      </c>
      <c r="F54" s="100" t="s">
        <v>1209</v>
      </c>
    </row>
    <row r="55" ht="14.25" customHeight="1">
      <c r="A55" s="95" t="s">
        <v>1210</v>
      </c>
      <c r="C55" s="96"/>
      <c r="F55" s="96"/>
    </row>
    <row r="56" ht="14.25" customHeight="1">
      <c r="A56" s="95" t="s">
        <v>1094</v>
      </c>
      <c r="B56" s="95" t="s">
        <v>634</v>
      </c>
      <c r="C56" s="95" t="s">
        <v>1097</v>
      </c>
      <c r="D56" s="96">
        <v>0.0</v>
      </c>
      <c r="E56" s="95" t="s">
        <v>1211</v>
      </c>
      <c r="F56" s="95" t="s">
        <v>1212</v>
      </c>
    </row>
    <row r="57" ht="14.25" customHeight="1">
      <c r="A57" s="96" t="s">
        <v>1213</v>
      </c>
      <c r="B57" s="95" t="s">
        <v>1123</v>
      </c>
      <c r="C57" s="95" t="s">
        <v>1214</v>
      </c>
      <c r="D57" s="96">
        <v>0.0</v>
      </c>
      <c r="E57" s="95" t="s">
        <v>1215</v>
      </c>
      <c r="F57" s="95" t="s">
        <v>1216</v>
      </c>
    </row>
    <row r="58" ht="14.25" customHeight="1">
      <c r="A58" s="95" t="s">
        <v>1217</v>
      </c>
      <c r="B58" s="95" t="s">
        <v>1123</v>
      </c>
      <c r="C58" s="95" t="s">
        <v>1218</v>
      </c>
      <c r="D58" s="96">
        <v>0.0</v>
      </c>
      <c r="E58" s="95" t="s">
        <v>1219</v>
      </c>
      <c r="F58" s="95" t="s">
        <v>1220</v>
      </c>
    </row>
    <row r="59" ht="14.25" customHeight="1">
      <c r="A59" s="95" t="s">
        <v>1221</v>
      </c>
      <c r="B59" s="95" t="s">
        <v>263</v>
      </c>
      <c r="C59" s="99" t="s">
        <v>264</v>
      </c>
      <c r="D59" s="96">
        <v>0.0</v>
      </c>
      <c r="E59" s="95" t="s">
        <v>1222</v>
      </c>
      <c r="F59" s="95" t="s">
        <v>1223</v>
      </c>
    </row>
    <row r="60" ht="14.25" customHeight="1">
      <c r="A60" s="95" t="s">
        <v>1224</v>
      </c>
      <c r="B60" s="95" t="s">
        <v>263</v>
      </c>
      <c r="C60" s="99" t="s">
        <v>264</v>
      </c>
      <c r="D60" s="96">
        <v>0.0</v>
      </c>
      <c r="E60" s="95" t="s">
        <v>1225</v>
      </c>
      <c r="F60" s="95" t="s">
        <v>1226</v>
      </c>
    </row>
    <row r="61" ht="99.75" customHeight="1">
      <c r="A61" s="95" t="s">
        <v>1227</v>
      </c>
      <c r="B61" s="95" t="s">
        <v>321</v>
      </c>
      <c r="C61" s="95" t="s">
        <v>1097</v>
      </c>
      <c r="D61" s="96">
        <v>0.0</v>
      </c>
      <c r="E61" s="95" t="s">
        <v>1228</v>
      </c>
      <c r="F61" s="100" t="s">
        <v>1229</v>
      </c>
    </row>
    <row r="62" ht="14.25" customHeight="1">
      <c r="A62" s="95" t="s">
        <v>1230</v>
      </c>
      <c r="B62" s="95" t="s">
        <v>263</v>
      </c>
      <c r="C62" s="99" t="s">
        <v>264</v>
      </c>
      <c r="D62" s="96">
        <v>0.0</v>
      </c>
      <c r="E62" s="95" t="s">
        <v>1187</v>
      </c>
      <c r="F62" s="95" t="s">
        <v>1231</v>
      </c>
    </row>
    <row r="63" ht="14.25" customHeight="1">
      <c r="A63" s="95" t="s">
        <v>1232</v>
      </c>
      <c r="B63" s="95" t="s">
        <v>263</v>
      </c>
      <c r="C63" s="99" t="s">
        <v>264</v>
      </c>
      <c r="D63" s="96">
        <v>0.0</v>
      </c>
      <c r="E63" s="95" t="s">
        <v>1187</v>
      </c>
      <c r="F63" s="95" t="s">
        <v>1233</v>
      </c>
    </row>
    <row r="64" ht="14.25" customHeight="1">
      <c r="A64" s="95" t="s">
        <v>1234</v>
      </c>
      <c r="B64" s="95" t="s">
        <v>321</v>
      </c>
      <c r="C64" s="95" t="s">
        <v>846</v>
      </c>
      <c r="D64" s="96">
        <v>0.0</v>
      </c>
      <c r="E64" s="95" t="s">
        <v>1235</v>
      </c>
      <c r="F64" s="95" t="s">
        <v>1236</v>
      </c>
    </row>
    <row r="65" ht="14.25" customHeight="1">
      <c r="A65" s="95" t="s">
        <v>1237</v>
      </c>
      <c r="B65" s="95" t="s">
        <v>321</v>
      </c>
      <c r="C65" s="95" t="s">
        <v>670</v>
      </c>
      <c r="D65" s="96">
        <v>0.0</v>
      </c>
      <c r="E65" s="95" t="s">
        <v>1238</v>
      </c>
      <c r="F65" s="95" t="s">
        <v>1239</v>
      </c>
    </row>
    <row r="66" ht="14.25" customHeight="1">
      <c r="A66" s="95" t="s">
        <v>1240</v>
      </c>
      <c r="B66" s="95" t="s">
        <v>263</v>
      </c>
      <c r="C66" s="99" t="s">
        <v>264</v>
      </c>
      <c r="D66" s="96">
        <v>0.0</v>
      </c>
      <c r="E66" s="95" t="s">
        <v>1187</v>
      </c>
      <c r="F66" s="95" t="s">
        <v>1241</v>
      </c>
    </row>
    <row r="67" ht="57.0" customHeight="1">
      <c r="A67" s="95" t="s">
        <v>1242</v>
      </c>
      <c r="B67" s="95" t="s">
        <v>263</v>
      </c>
      <c r="C67" s="99" t="s">
        <v>264</v>
      </c>
      <c r="D67" s="96">
        <v>0.0</v>
      </c>
      <c r="E67" s="95" t="s">
        <v>1187</v>
      </c>
      <c r="F67" s="100" t="s">
        <v>1243</v>
      </c>
    </row>
    <row r="68" ht="14.25" customHeight="1">
      <c r="A68" s="95" t="s">
        <v>1244</v>
      </c>
      <c r="B68" s="95" t="s">
        <v>263</v>
      </c>
      <c r="C68" s="99" t="s">
        <v>264</v>
      </c>
      <c r="D68" s="96">
        <v>0.0</v>
      </c>
      <c r="E68" s="95" t="s">
        <v>1187</v>
      </c>
      <c r="F68" s="95" t="s">
        <v>1245</v>
      </c>
    </row>
    <row r="69" ht="14.25" customHeight="1">
      <c r="A69" s="95" t="s">
        <v>1246</v>
      </c>
      <c r="B69" s="95" t="s">
        <v>263</v>
      </c>
      <c r="C69" s="99" t="s">
        <v>264</v>
      </c>
      <c r="D69" s="96">
        <v>0.0</v>
      </c>
      <c r="E69" s="95" t="s">
        <v>1187</v>
      </c>
      <c r="F69" s="95" t="s">
        <v>1247</v>
      </c>
    </row>
    <row r="70" ht="14.25" customHeight="1">
      <c r="A70" s="95" t="s">
        <v>1248</v>
      </c>
      <c r="B70" s="95" t="s">
        <v>263</v>
      </c>
      <c r="C70" s="99" t="s">
        <v>264</v>
      </c>
      <c r="D70" s="96">
        <v>0.0</v>
      </c>
      <c r="E70" s="95" t="s">
        <v>1249</v>
      </c>
      <c r="F70" s="95" t="s">
        <v>1250</v>
      </c>
    </row>
    <row r="71" ht="14.25" customHeight="1">
      <c r="A71" s="95" t="s">
        <v>1251</v>
      </c>
      <c r="B71" s="95" t="s">
        <v>263</v>
      </c>
      <c r="C71" s="99" t="s">
        <v>264</v>
      </c>
      <c r="D71" s="96">
        <v>0.0</v>
      </c>
      <c r="E71" s="95" t="s">
        <v>1252</v>
      </c>
      <c r="F71" s="95" t="s">
        <v>1253</v>
      </c>
    </row>
    <row r="72" ht="14.25" customHeight="1">
      <c r="A72" s="95" t="s">
        <v>1254</v>
      </c>
      <c r="B72" s="95" t="s">
        <v>263</v>
      </c>
      <c r="C72" s="99" t="s">
        <v>264</v>
      </c>
      <c r="D72" s="96">
        <v>0.0</v>
      </c>
      <c r="E72" s="95" t="s">
        <v>1255</v>
      </c>
      <c r="F72" s="95" t="s">
        <v>1256</v>
      </c>
    </row>
    <row r="73" ht="14.25" customHeight="1">
      <c r="A73" s="95" t="s">
        <v>1257</v>
      </c>
      <c r="B73" s="95" t="s">
        <v>321</v>
      </c>
      <c r="C73" s="95" t="s">
        <v>1258</v>
      </c>
      <c r="D73" s="96">
        <v>0.0</v>
      </c>
      <c r="E73" s="95" t="s">
        <v>1259</v>
      </c>
      <c r="F73" s="95" t="s">
        <v>1260</v>
      </c>
    </row>
    <row r="74" ht="12.75" customHeight="1">
      <c r="C74" s="96"/>
      <c r="F74" s="96"/>
    </row>
    <row r="75" ht="12.75" customHeight="1">
      <c r="C75" s="96"/>
      <c r="F75" s="96"/>
    </row>
    <row r="76" ht="14.25" customHeight="1">
      <c r="A76" s="95"/>
      <c r="C76" s="96"/>
      <c r="F76" s="96"/>
    </row>
    <row r="77" ht="12.75" customHeight="1">
      <c r="C77" s="96"/>
      <c r="F77" s="96"/>
    </row>
    <row r="78" ht="12.75" customHeight="1">
      <c r="C78" s="96"/>
      <c r="F78" s="96"/>
    </row>
    <row r="79" ht="14.25" customHeight="1">
      <c r="A79" s="95"/>
      <c r="C79" s="96"/>
      <c r="F79" s="96"/>
    </row>
    <row r="80" ht="12.75" customHeight="1">
      <c r="C80" s="96"/>
      <c r="F80" s="96"/>
    </row>
    <row r="81" ht="12.75" customHeight="1">
      <c r="C81" s="96"/>
      <c r="F81" s="96"/>
    </row>
    <row r="82" ht="12.75" customHeight="1">
      <c r="C82" s="96"/>
      <c r="F82" s="96"/>
    </row>
    <row r="83" ht="12.75" customHeight="1">
      <c r="C83" s="96"/>
      <c r="F83" s="96"/>
    </row>
    <row r="84" ht="12.75" customHeight="1">
      <c r="C84" s="96"/>
      <c r="F84" s="96"/>
    </row>
    <row r="85" ht="12.75" customHeight="1">
      <c r="C85" s="96"/>
      <c r="F85" s="96"/>
    </row>
    <row r="86" ht="12.75" customHeight="1">
      <c r="C86" s="96"/>
      <c r="F86" s="96"/>
    </row>
    <row r="87" ht="12.75" customHeight="1">
      <c r="C87" s="96"/>
      <c r="F87" s="96"/>
    </row>
    <row r="88" ht="12.75" customHeight="1">
      <c r="C88" s="96"/>
      <c r="F88" s="96"/>
    </row>
    <row r="89" ht="12.75" customHeight="1">
      <c r="C89" s="96"/>
      <c r="F89" s="96"/>
    </row>
    <row r="90" ht="12.75" customHeight="1">
      <c r="C90" s="96"/>
      <c r="F90" s="96"/>
    </row>
    <row r="91" ht="12.75" customHeight="1">
      <c r="C91" s="96"/>
      <c r="F91" s="96"/>
    </row>
    <row r="92" ht="12.75" customHeight="1">
      <c r="C92" s="96"/>
      <c r="F92" s="96"/>
    </row>
    <row r="93" ht="12.75" customHeight="1">
      <c r="C93" s="96"/>
      <c r="F93" s="96"/>
    </row>
    <row r="94" ht="12.75" customHeight="1">
      <c r="C94" s="96"/>
      <c r="F94" s="96"/>
    </row>
    <row r="95" ht="12.75" customHeight="1">
      <c r="C95" s="96"/>
      <c r="F95" s="96"/>
    </row>
    <row r="96" ht="12.75" customHeight="1">
      <c r="C96" s="96"/>
      <c r="F96" s="96"/>
    </row>
    <row r="97" ht="12.75" customHeight="1">
      <c r="C97" s="96"/>
      <c r="F97" s="96"/>
    </row>
    <row r="98" ht="12.75" customHeight="1">
      <c r="C98" s="96"/>
      <c r="F98" s="96"/>
    </row>
    <row r="99" ht="12.75" customHeight="1">
      <c r="C99" s="96"/>
      <c r="F99" s="96"/>
    </row>
    <row r="100" ht="12.75" customHeight="1">
      <c r="C100" s="96"/>
      <c r="F100" s="96"/>
    </row>
    <row r="101" ht="12.75" customHeight="1">
      <c r="C101" s="96"/>
      <c r="F101" s="96"/>
    </row>
    <row r="102" ht="12.75" customHeight="1">
      <c r="C102" s="96"/>
      <c r="F102" s="96"/>
    </row>
    <row r="103" ht="12.75" customHeight="1">
      <c r="C103" s="96"/>
      <c r="F103" s="96"/>
    </row>
    <row r="104" ht="12.75" customHeight="1">
      <c r="C104" s="96"/>
      <c r="F104" s="96"/>
    </row>
    <row r="105" ht="12.75" customHeight="1">
      <c r="C105" s="96"/>
      <c r="F105" s="96"/>
    </row>
    <row r="106" ht="12.75" customHeight="1">
      <c r="C106" s="96"/>
      <c r="F106" s="96"/>
    </row>
    <row r="107" ht="12.75" customHeight="1">
      <c r="C107" s="96"/>
      <c r="F107" s="96"/>
    </row>
    <row r="108" ht="12.75" customHeight="1">
      <c r="C108" s="96"/>
      <c r="F108" s="96"/>
    </row>
    <row r="109" ht="12.75" customHeight="1">
      <c r="C109" s="96"/>
      <c r="F109" s="96"/>
    </row>
    <row r="110" ht="12.75" customHeight="1">
      <c r="C110" s="96"/>
      <c r="F110" s="96"/>
    </row>
    <row r="111" ht="12.75" customHeight="1">
      <c r="C111" s="96"/>
      <c r="F111" s="96"/>
    </row>
    <row r="112" ht="12.75" customHeight="1">
      <c r="C112" s="96"/>
      <c r="F112" s="96"/>
    </row>
    <row r="113" ht="12.75" customHeight="1">
      <c r="C113" s="96"/>
      <c r="F113" s="96"/>
    </row>
    <row r="114" ht="12.75" customHeight="1">
      <c r="C114" s="96"/>
      <c r="F114" s="96"/>
    </row>
    <row r="115" ht="12.75" customHeight="1">
      <c r="C115" s="96"/>
      <c r="F115" s="96"/>
    </row>
    <row r="116" ht="12.75" customHeight="1">
      <c r="C116" s="96"/>
      <c r="F116" s="96"/>
    </row>
    <row r="117" ht="12.75" customHeight="1">
      <c r="C117" s="96"/>
      <c r="F117" s="96"/>
    </row>
    <row r="118" ht="12.75" customHeight="1">
      <c r="C118" s="96"/>
      <c r="F118" s="96"/>
    </row>
    <row r="119" ht="12.75" customHeight="1">
      <c r="C119" s="96"/>
      <c r="F119" s="96"/>
    </row>
    <row r="120" ht="12.75" customHeight="1">
      <c r="C120" s="96"/>
      <c r="F120" s="96"/>
    </row>
    <row r="121" ht="12.75" customHeight="1">
      <c r="C121" s="96"/>
      <c r="F121" s="96"/>
    </row>
    <row r="122" ht="12.75" customHeight="1">
      <c r="C122" s="96"/>
      <c r="F122" s="96"/>
    </row>
    <row r="123" ht="12.75" customHeight="1">
      <c r="C123" s="96"/>
      <c r="F123" s="96"/>
    </row>
    <row r="124" ht="12.75" customHeight="1">
      <c r="C124" s="96"/>
      <c r="F124" s="96"/>
    </row>
    <row r="125" ht="12.75" customHeight="1">
      <c r="C125" s="96"/>
      <c r="F125" s="96"/>
    </row>
    <row r="126" ht="12.75" customHeight="1">
      <c r="C126" s="96"/>
      <c r="F126" s="96"/>
    </row>
    <row r="127" ht="12.75" customHeight="1">
      <c r="C127" s="96"/>
      <c r="F127" s="96"/>
    </row>
    <row r="128" ht="12.75" customHeight="1">
      <c r="C128" s="96"/>
      <c r="F128" s="96"/>
    </row>
    <row r="129" ht="12.75" customHeight="1">
      <c r="C129" s="96"/>
      <c r="F129" s="96"/>
    </row>
    <row r="130" ht="12.75" customHeight="1">
      <c r="C130" s="96"/>
      <c r="F130" s="96"/>
    </row>
    <row r="131" ht="12.75" customHeight="1">
      <c r="C131" s="96"/>
      <c r="F131" s="96"/>
    </row>
    <row r="132" ht="12.75" customHeight="1">
      <c r="C132" s="96"/>
      <c r="F132" s="96"/>
    </row>
    <row r="133" ht="12.75" customHeight="1">
      <c r="C133" s="96"/>
      <c r="F133" s="96"/>
    </row>
    <row r="134" ht="12.75" customHeight="1">
      <c r="C134" s="96"/>
      <c r="F134" s="96"/>
    </row>
    <row r="135" ht="12.75" customHeight="1">
      <c r="C135" s="96"/>
      <c r="F135" s="96"/>
    </row>
    <row r="136" ht="12.75" customHeight="1">
      <c r="C136" s="96"/>
      <c r="F136" s="96"/>
    </row>
    <row r="137" ht="12.75" customHeight="1">
      <c r="C137" s="96"/>
      <c r="F137" s="96"/>
    </row>
    <row r="138" ht="12.75" customHeight="1">
      <c r="C138" s="96"/>
      <c r="F138" s="96"/>
    </row>
    <row r="139" ht="12.75" customHeight="1">
      <c r="C139" s="96"/>
      <c r="F139" s="96"/>
    </row>
    <row r="140" ht="12.75" customHeight="1">
      <c r="C140" s="96"/>
      <c r="F140" s="96"/>
    </row>
    <row r="141" ht="12.75" customHeight="1">
      <c r="C141" s="96"/>
      <c r="F141" s="96"/>
    </row>
    <row r="142" ht="12.75" customHeight="1">
      <c r="C142" s="96"/>
      <c r="F142" s="96"/>
    </row>
    <row r="143" ht="12.75" customHeight="1">
      <c r="C143" s="96"/>
      <c r="F143" s="96"/>
    </row>
    <row r="144" ht="12.75" customHeight="1">
      <c r="C144" s="96"/>
      <c r="F144" s="96"/>
    </row>
    <row r="145" ht="12.75" customHeight="1">
      <c r="C145" s="96"/>
      <c r="F145" s="96"/>
    </row>
    <row r="146" ht="12.75" customHeight="1">
      <c r="C146" s="96"/>
      <c r="F146" s="96"/>
    </row>
    <row r="147" ht="12.75" customHeight="1">
      <c r="C147" s="96"/>
      <c r="F147" s="96"/>
    </row>
    <row r="148" ht="12.75" customHeight="1">
      <c r="C148" s="96"/>
      <c r="F148" s="96"/>
    </row>
    <row r="149" ht="12.75" customHeight="1">
      <c r="C149" s="96"/>
      <c r="F149" s="96"/>
    </row>
    <row r="150" ht="12.75" customHeight="1">
      <c r="C150" s="96"/>
      <c r="F150" s="96"/>
    </row>
    <row r="151" ht="12.75" customHeight="1">
      <c r="C151" s="96"/>
      <c r="F151" s="96"/>
    </row>
    <row r="152" ht="12.75" customHeight="1">
      <c r="C152" s="96"/>
      <c r="F152" s="96"/>
    </row>
    <row r="153" ht="12.75" customHeight="1">
      <c r="C153" s="96"/>
      <c r="F153" s="96"/>
    </row>
    <row r="154" ht="12.75" customHeight="1">
      <c r="C154" s="96"/>
      <c r="F154" s="96"/>
    </row>
    <row r="155" ht="12.75" customHeight="1">
      <c r="C155" s="96"/>
      <c r="F155" s="96"/>
    </row>
    <row r="156" ht="12.75" customHeight="1">
      <c r="C156" s="96"/>
      <c r="F156" s="96"/>
    </row>
    <row r="157" ht="12.75" customHeight="1">
      <c r="C157" s="96"/>
      <c r="F157" s="96"/>
    </row>
    <row r="158" ht="12.75" customHeight="1">
      <c r="C158" s="96"/>
      <c r="F158" s="96"/>
    </row>
    <row r="159" ht="12.75" customHeight="1">
      <c r="C159" s="96"/>
      <c r="F159" s="96"/>
    </row>
    <row r="160" ht="12.75" customHeight="1">
      <c r="C160" s="96"/>
      <c r="F160" s="96"/>
    </row>
    <row r="161" ht="12.75" customHeight="1">
      <c r="C161" s="96"/>
      <c r="F161" s="96"/>
    </row>
    <row r="162" ht="12.75" customHeight="1">
      <c r="C162" s="96"/>
      <c r="F162" s="96"/>
    </row>
    <row r="163" ht="12.75" customHeight="1">
      <c r="C163" s="96"/>
      <c r="F163" s="96"/>
    </row>
    <row r="164" ht="12.75" customHeight="1">
      <c r="C164" s="96"/>
      <c r="F164" s="96"/>
    </row>
    <row r="165" ht="12.75" customHeight="1">
      <c r="C165" s="96"/>
      <c r="F165" s="96"/>
    </row>
    <row r="166" ht="12.75" customHeight="1">
      <c r="C166" s="96"/>
      <c r="F166" s="96"/>
    </row>
    <row r="167" ht="12.75" customHeight="1">
      <c r="C167" s="96"/>
      <c r="F167" s="96"/>
    </row>
    <row r="168" ht="12.75" customHeight="1">
      <c r="C168" s="96"/>
      <c r="F168" s="96"/>
    </row>
    <row r="169" ht="12.75" customHeight="1">
      <c r="C169" s="96"/>
      <c r="F169" s="96"/>
    </row>
    <row r="170" ht="12.75" customHeight="1">
      <c r="C170" s="96"/>
      <c r="F170" s="96"/>
    </row>
    <row r="171" ht="12.75" customHeight="1">
      <c r="C171" s="96"/>
      <c r="F171" s="96"/>
    </row>
    <row r="172" ht="12.75" customHeight="1">
      <c r="C172" s="96"/>
      <c r="F172" s="96"/>
    </row>
    <row r="173" ht="12.75" customHeight="1">
      <c r="C173" s="96"/>
      <c r="F173" s="96"/>
    </row>
    <row r="174" ht="12.75" customHeight="1">
      <c r="C174" s="96"/>
      <c r="F174" s="96"/>
    </row>
    <row r="175" ht="12.75" customHeight="1">
      <c r="C175" s="96"/>
      <c r="F175" s="96"/>
    </row>
    <row r="176" ht="12.75" customHeight="1">
      <c r="C176" s="96"/>
      <c r="F176" s="96"/>
    </row>
    <row r="177" ht="12.75" customHeight="1">
      <c r="C177" s="96"/>
      <c r="F177" s="96"/>
    </row>
    <row r="178" ht="12.75" customHeight="1">
      <c r="C178" s="96"/>
      <c r="F178" s="96"/>
    </row>
    <row r="179" ht="12.75" customHeight="1">
      <c r="C179" s="96"/>
      <c r="F179" s="96"/>
    </row>
    <row r="180" ht="12.75" customHeight="1">
      <c r="C180" s="96"/>
      <c r="F180" s="96"/>
    </row>
    <row r="181" ht="12.75" customHeight="1">
      <c r="C181" s="96"/>
      <c r="F181" s="96"/>
    </row>
    <row r="182" ht="12.75" customHeight="1">
      <c r="C182" s="96"/>
      <c r="F182" s="96"/>
    </row>
    <row r="183" ht="12.75" customHeight="1">
      <c r="C183" s="96"/>
      <c r="F183" s="96"/>
    </row>
    <row r="184" ht="12.75" customHeight="1">
      <c r="C184" s="96"/>
      <c r="F184" s="96"/>
    </row>
    <row r="185" ht="12.75" customHeight="1">
      <c r="C185" s="96"/>
      <c r="F185" s="96"/>
    </row>
    <row r="186" ht="12.75" customHeight="1">
      <c r="C186" s="96"/>
      <c r="F186" s="96"/>
    </row>
    <row r="187" ht="12.75" customHeight="1">
      <c r="C187" s="96"/>
      <c r="F187" s="96"/>
    </row>
    <row r="188" ht="12.75" customHeight="1">
      <c r="C188" s="96"/>
      <c r="F188" s="96"/>
    </row>
    <row r="189" ht="12.75" customHeight="1">
      <c r="C189" s="96"/>
      <c r="F189" s="96"/>
    </row>
    <row r="190" ht="12.75" customHeight="1">
      <c r="C190" s="96"/>
      <c r="F190" s="96"/>
    </row>
    <row r="191" ht="12.75" customHeight="1">
      <c r="C191" s="96"/>
      <c r="F191" s="96"/>
    </row>
    <row r="192" ht="12.75" customHeight="1">
      <c r="C192" s="96"/>
      <c r="F192" s="96"/>
    </row>
    <row r="193" ht="12.75" customHeight="1">
      <c r="C193" s="96"/>
      <c r="F193" s="96"/>
    </row>
    <row r="194" ht="12.75" customHeight="1">
      <c r="C194" s="96"/>
      <c r="F194" s="96"/>
    </row>
    <row r="195" ht="12.75" customHeight="1">
      <c r="C195" s="96"/>
      <c r="F195" s="96"/>
    </row>
    <row r="196" ht="12.75" customHeight="1">
      <c r="C196" s="96"/>
      <c r="F196" s="96"/>
    </row>
    <row r="197" ht="12.75" customHeight="1">
      <c r="C197" s="96"/>
      <c r="F197" s="96"/>
    </row>
    <row r="198" ht="12.75" customHeight="1">
      <c r="C198" s="96"/>
      <c r="F198" s="96"/>
    </row>
    <row r="199" ht="12.75" customHeight="1">
      <c r="C199" s="96"/>
      <c r="F199" s="96"/>
    </row>
    <row r="200" ht="12.75" customHeight="1">
      <c r="C200" s="96"/>
      <c r="F200" s="96"/>
    </row>
    <row r="201" ht="12.75" customHeight="1">
      <c r="C201" s="96"/>
      <c r="F201" s="96"/>
    </row>
    <row r="202" ht="12.75" customHeight="1">
      <c r="C202" s="96"/>
      <c r="F202" s="96"/>
    </row>
    <row r="203" ht="12.75" customHeight="1">
      <c r="C203" s="96"/>
      <c r="F203" s="96"/>
    </row>
    <row r="204" ht="12.75" customHeight="1">
      <c r="C204" s="96"/>
      <c r="F204" s="96"/>
    </row>
    <row r="205" ht="12.75" customHeight="1">
      <c r="C205" s="96"/>
      <c r="F205" s="96"/>
    </row>
    <row r="206" ht="12.75" customHeight="1">
      <c r="C206" s="96"/>
      <c r="F206" s="96"/>
    </row>
    <row r="207" ht="12.75" customHeight="1">
      <c r="C207" s="96"/>
      <c r="F207" s="96"/>
    </row>
    <row r="208" ht="12.75" customHeight="1">
      <c r="C208" s="96"/>
      <c r="F208" s="96"/>
    </row>
    <row r="209" ht="12.75" customHeight="1">
      <c r="C209" s="96"/>
      <c r="F209" s="96"/>
    </row>
    <row r="210" ht="12.75" customHeight="1">
      <c r="C210" s="96"/>
      <c r="F210" s="96"/>
    </row>
    <row r="211" ht="12.75" customHeight="1">
      <c r="C211" s="96"/>
      <c r="F211" s="96"/>
    </row>
    <row r="212" ht="12.75" customHeight="1">
      <c r="C212" s="96"/>
      <c r="F212" s="96"/>
    </row>
    <row r="213" ht="12.75" customHeight="1">
      <c r="C213" s="96"/>
      <c r="F213" s="96"/>
    </row>
    <row r="214" ht="12.75" customHeight="1">
      <c r="C214" s="96"/>
      <c r="F214" s="96"/>
    </row>
    <row r="215" ht="12.75" customHeight="1">
      <c r="C215" s="96"/>
      <c r="F215" s="96"/>
    </row>
    <row r="216" ht="12.75" customHeight="1">
      <c r="C216" s="96"/>
      <c r="F216" s="96"/>
    </row>
    <row r="217" ht="12.75" customHeight="1">
      <c r="C217" s="96"/>
      <c r="F217" s="96"/>
    </row>
    <row r="218" ht="12.75" customHeight="1">
      <c r="C218" s="96"/>
      <c r="F218" s="96"/>
    </row>
    <row r="219" ht="12.75" customHeight="1">
      <c r="C219" s="96"/>
      <c r="F219" s="96"/>
    </row>
    <row r="220" ht="12.75" customHeight="1">
      <c r="C220" s="96"/>
      <c r="F220" s="96"/>
    </row>
    <row r="221" ht="12.75" customHeight="1">
      <c r="C221" s="96"/>
      <c r="F221" s="96"/>
    </row>
    <row r="222" ht="12.75" customHeight="1">
      <c r="C222" s="96"/>
      <c r="F222" s="96"/>
    </row>
    <row r="223" ht="12.75" customHeight="1">
      <c r="C223" s="96"/>
      <c r="F223" s="96"/>
    </row>
    <row r="224" ht="12.75" customHeight="1">
      <c r="C224" s="96"/>
      <c r="F224" s="96"/>
    </row>
    <row r="225" ht="12.75" customHeight="1">
      <c r="C225" s="96"/>
      <c r="F225" s="96"/>
    </row>
    <row r="226" ht="12.75" customHeight="1">
      <c r="C226" s="96"/>
      <c r="F226" s="96"/>
    </row>
    <row r="227" ht="12.75" customHeight="1">
      <c r="C227" s="96"/>
      <c r="F227" s="96"/>
    </row>
    <row r="228" ht="12.75" customHeight="1">
      <c r="C228" s="96"/>
      <c r="F228" s="96"/>
    </row>
    <row r="229" ht="12.75" customHeight="1">
      <c r="C229" s="96"/>
      <c r="F229" s="96"/>
    </row>
    <row r="230" ht="12.75" customHeight="1">
      <c r="C230" s="96"/>
      <c r="F230" s="96"/>
    </row>
    <row r="231" ht="12.75" customHeight="1">
      <c r="C231" s="96"/>
      <c r="F231" s="96"/>
    </row>
    <row r="232" ht="12.75" customHeight="1">
      <c r="C232" s="96"/>
      <c r="F232" s="96"/>
    </row>
    <row r="233" ht="12.75" customHeight="1">
      <c r="C233" s="96"/>
      <c r="F233" s="96"/>
    </row>
    <row r="234" ht="12.75" customHeight="1">
      <c r="C234" s="96"/>
      <c r="F234" s="96"/>
    </row>
    <row r="235" ht="12.75" customHeight="1">
      <c r="C235" s="96"/>
      <c r="F235" s="96"/>
    </row>
    <row r="236" ht="12.75" customHeight="1">
      <c r="C236" s="96"/>
      <c r="F236" s="96"/>
    </row>
    <row r="237" ht="12.75" customHeight="1">
      <c r="C237" s="96"/>
      <c r="F237" s="96"/>
    </row>
    <row r="238" ht="12.75" customHeight="1">
      <c r="C238" s="96"/>
      <c r="F238" s="96"/>
    </row>
    <row r="239" ht="12.75" customHeight="1">
      <c r="C239" s="96"/>
      <c r="F239" s="96"/>
    </row>
    <row r="240" ht="12.75" customHeight="1">
      <c r="C240" s="96"/>
      <c r="F240" s="96"/>
    </row>
    <row r="241" ht="12.75" customHeight="1">
      <c r="C241" s="96"/>
      <c r="F241" s="96"/>
    </row>
    <row r="242" ht="12.75" customHeight="1">
      <c r="C242" s="96"/>
      <c r="F242" s="96"/>
    </row>
    <row r="243" ht="12.75" customHeight="1">
      <c r="C243" s="96"/>
      <c r="F243" s="96"/>
    </row>
    <row r="244" ht="12.75" customHeight="1">
      <c r="C244" s="96"/>
      <c r="F244" s="96"/>
    </row>
    <row r="245" ht="12.75" customHeight="1">
      <c r="C245" s="96"/>
      <c r="F245" s="96"/>
    </row>
    <row r="246" ht="12.75" customHeight="1">
      <c r="C246" s="96"/>
      <c r="F246" s="96"/>
    </row>
    <row r="247" ht="12.75" customHeight="1">
      <c r="C247" s="96"/>
      <c r="F247" s="96"/>
    </row>
    <row r="248" ht="12.75" customHeight="1">
      <c r="C248" s="96"/>
      <c r="F248" s="96"/>
    </row>
    <row r="249" ht="12.75" customHeight="1">
      <c r="C249" s="96"/>
      <c r="F249" s="96"/>
    </row>
    <row r="250" ht="12.75" customHeight="1">
      <c r="C250" s="96"/>
      <c r="F250" s="96"/>
    </row>
    <row r="251" ht="12.75" customHeight="1">
      <c r="C251" s="96"/>
      <c r="F251" s="96"/>
    </row>
    <row r="252" ht="12.75" customHeight="1">
      <c r="C252" s="96"/>
      <c r="F252" s="96"/>
    </row>
    <row r="253" ht="12.75" customHeight="1">
      <c r="C253" s="96"/>
      <c r="F253" s="96"/>
    </row>
    <row r="254" ht="12.75" customHeight="1">
      <c r="C254" s="96"/>
      <c r="F254" s="96"/>
    </row>
    <row r="255" ht="12.75" customHeight="1">
      <c r="C255" s="96"/>
      <c r="F255" s="96"/>
    </row>
    <row r="256" ht="12.75" customHeight="1">
      <c r="C256" s="96"/>
      <c r="F256" s="96"/>
    </row>
    <row r="257" ht="12.75" customHeight="1">
      <c r="C257" s="96"/>
      <c r="F257" s="96"/>
    </row>
    <row r="258" ht="12.75" customHeight="1">
      <c r="C258" s="96"/>
      <c r="F258" s="96"/>
    </row>
    <row r="259" ht="12.75" customHeight="1">
      <c r="C259" s="96"/>
      <c r="F259" s="96"/>
    </row>
    <row r="260" ht="12.75" customHeight="1">
      <c r="C260" s="96"/>
      <c r="F260" s="96"/>
    </row>
    <row r="261" ht="12.75" customHeight="1">
      <c r="C261" s="96"/>
      <c r="F261" s="96"/>
    </row>
    <row r="262" ht="12.75" customHeight="1">
      <c r="C262" s="96"/>
      <c r="F262" s="96"/>
    </row>
    <row r="263" ht="12.75" customHeight="1">
      <c r="C263" s="96"/>
      <c r="F263" s="96"/>
    </row>
    <row r="264" ht="12.75" customHeight="1">
      <c r="C264" s="96"/>
      <c r="F264" s="96"/>
    </row>
    <row r="265" ht="12.75" customHeight="1">
      <c r="C265" s="96"/>
      <c r="F265" s="96"/>
    </row>
    <row r="266" ht="12.75" customHeight="1">
      <c r="C266" s="96"/>
      <c r="F266" s="96"/>
    </row>
    <row r="267" ht="12.75" customHeight="1">
      <c r="C267" s="96"/>
      <c r="F267" s="96"/>
    </row>
    <row r="268" ht="12.75" customHeight="1">
      <c r="C268" s="96"/>
      <c r="F268" s="96"/>
    </row>
    <row r="269" ht="12.75" customHeight="1">
      <c r="C269" s="96"/>
      <c r="F269" s="96"/>
    </row>
    <row r="270" ht="12.75" customHeight="1">
      <c r="C270" s="96"/>
      <c r="F270" s="96"/>
    </row>
    <row r="271" ht="12.75" customHeight="1">
      <c r="C271" s="96"/>
      <c r="F271" s="96"/>
    </row>
    <row r="272" ht="12.75" customHeight="1">
      <c r="C272" s="96"/>
      <c r="F272" s="96"/>
    </row>
    <row r="273" ht="12.75" customHeight="1">
      <c r="C273" s="96"/>
      <c r="F273" s="96"/>
    </row>
    <row r="274" ht="12.75" customHeight="1">
      <c r="C274" s="96"/>
      <c r="F274" s="96"/>
    </row>
    <row r="275" ht="12.75" customHeight="1">
      <c r="C275" s="96"/>
      <c r="F275" s="96"/>
    </row>
    <row r="276" ht="12.75" customHeight="1">
      <c r="C276" s="96"/>
      <c r="F276" s="96"/>
    </row>
    <row r="277" ht="12.75" customHeight="1">
      <c r="C277" s="96"/>
      <c r="F277" s="96"/>
    </row>
    <row r="278" ht="12.75" customHeight="1">
      <c r="C278" s="96"/>
      <c r="F278" s="96"/>
    </row>
    <row r="279" ht="12.75" customHeight="1">
      <c r="C279" s="96"/>
      <c r="F279" s="96"/>
    </row>
    <row r="280" ht="12.75" customHeight="1">
      <c r="C280" s="96"/>
      <c r="F280" s="96"/>
    </row>
    <row r="281" ht="12.75" customHeight="1">
      <c r="C281" s="96"/>
      <c r="F281" s="96"/>
    </row>
    <row r="282" ht="12.75" customHeight="1">
      <c r="C282" s="96"/>
      <c r="F282" s="96"/>
    </row>
    <row r="283" ht="12.75" customHeight="1">
      <c r="C283" s="96"/>
      <c r="F283" s="96"/>
    </row>
    <row r="284" ht="12.75" customHeight="1">
      <c r="C284" s="96"/>
      <c r="F284" s="96"/>
    </row>
    <row r="285" ht="12.75" customHeight="1">
      <c r="C285" s="96"/>
      <c r="F285" s="96"/>
    </row>
    <row r="286" ht="12.75" customHeight="1">
      <c r="C286" s="96"/>
      <c r="F286" s="96"/>
    </row>
    <row r="287" ht="12.75" customHeight="1">
      <c r="C287" s="96"/>
      <c r="F287" s="96"/>
    </row>
    <row r="288" ht="12.75" customHeight="1">
      <c r="C288" s="96"/>
      <c r="F288" s="96"/>
    </row>
    <row r="289" ht="12.75" customHeight="1">
      <c r="C289" s="96"/>
      <c r="F289" s="96"/>
    </row>
    <row r="290" ht="12.75" customHeight="1">
      <c r="C290" s="96"/>
      <c r="F290" s="96"/>
    </row>
    <row r="291" ht="12.75" customHeight="1">
      <c r="C291" s="96"/>
      <c r="F291" s="96"/>
    </row>
    <row r="292" ht="12.75" customHeight="1">
      <c r="C292" s="96"/>
      <c r="F292" s="96"/>
    </row>
    <row r="293" ht="12.75" customHeight="1">
      <c r="C293" s="96"/>
      <c r="F293" s="96"/>
    </row>
    <row r="294" ht="12.75" customHeight="1">
      <c r="C294" s="96"/>
      <c r="F294" s="96"/>
    </row>
    <row r="295" ht="12.75" customHeight="1">
      <c r="C295" s="96"/>
      <c r="F295" s="96"/>
    </row>
    <row r="296" ht="12.75" customHeight="1">
      <c r="C296" s="96"/>
      <c r="F296" s="96"/>
    </row>
    <row r="297" ht="12.75" customHeight="1">
      <c r="C297" s="96"/>
      <c r="F297" s="96"/>
    </row>
    <row r="298" ht="12.75" customHeight="1">
      <c r="C298" s="96"/>
      <c r="F298" s="96"/>
    </row>
    <row r="299" ht="12.75" customHeight="1">
      <c r="C299" s="96"/>
      <c r="F299" s="96"/>
    </row>
    <row r="300" ht="12.75" customHeight="1">
      <c r="C300" s="96"/>
      <c r="F300" s="96"/>
    </row>
    <row r="301" ht="12.75" customHeight="1">
      <c r="C301" s="96"/>
      <c r="F301" s="96"/>
    </row>
    <row r="302" ht="12.75" customHeight="1">
      <c r="C302" s="96"/>
      <c r="F302" s="96"/>
    </row>
    <row r="303" ht="12.75" customHeight="1">
      <c r="C303" s="96"/>
      <c r="F303" s="96"/>
    </row>
    <row r="304" ht="12.75" customHeight="1">
      <c r="C304" s="96"/>
      <c r="F304" s="96"/>
    </row>
    <row r="305" ht="12.75" customHeight="1">
      <c r="C305" s="96"/>
      <c r="F305" s="96"/>
    </row>
    <row r="306" ht="12.75" customHeight="1">
      <c r="C306" s="96"/>
      <c r="F306" s="96"/>
    </row>
    <row r="307" ht="12.75" customHeight="1">
      <c r="C307" s="96"/>
      <c r="F307" s="96"/>
    </row>
    <row r="308" ht="12.75" customHeight="1">
      <c r="C308" s="96"/>
      <c r="F308" s="96"/>
    </row>
    <row r="309" ht="12.75" customHeight="1">
      <c r="C309" s="96"/>
      <c r="F309" s="96"/>
    </row>
    <row r="310" ht="12.75" customHeight="1">
      <c r="C310" s="96"/>
      <c r="F310" s="96"/>
    </row>
    <row r="311" ht="12.75" customHeight="1">
      <c r="C311" s="96"/>
      <c r="F311" s="96"/>
    </row>
    <row r="312" ht="12.75" customHeight="1">
      <c r="C312" s="96"/>
      <c r="F312" s="96"/>
    </row>
    <row r="313" ht="12.75" customHeight="1">
      <c r="C313" s="96"/>
      <c r="F313" s="96"/>
    </row>
    <row r="314" ht="12.75" customHeight="1">
      <c r="C314" s="96"/>
      <c r="F314" s="96"/>
    </row>
    <row r="315" ht="12.75" customHeight="1">
      <c r="C315" s="96"/>
      <c r="F315" s="96"/>
    </row>
    <row r="316" ht="12.75" customHeight="1">
      <c r="C316" s="96"/>
      <c r="F316" s="96"/>
    </row>
    <row r="317" ht="12.75" customHeight="1">
      <c r="C317" s="96"/>
      <c r="F317" s="96"/>
    </row>
    <row r="318" ht="12.75" customHeight="1">
      <c r="C318" s="96"/>
      <c r="F318" s="96"/>
    </row>
    <row r="319" ht="12.75" customHeight="1">
      <c r="C319" s="96"/>
      <c r="F319" s="96"/>
    </row>
    <row r="320" ht="12.75" customHeight="1">
      <c r="C320" s="96"/>
      <c r="F320" s="96"/>
    </row>
    <row r="321" ht="12.75" customHeight="1">
      <c r="C321" s="96"/>
      <c r="F321" s="96"/>
    </row>
    <row r="322" ht="12.75" customHeight="1">
      <c r="C322" s="96"/>
      <c r="F322" s="96"/>
    </row>
    <row r="323" ht="12.75" customHeight="1">
      <c r="C323" s="96"/>
      <c r="F323" s="96"/>
    </row>
    <row r="324" ht="12.75" customHeight="1">
      <c r="C324" s="96"/>
      <c r="F324" s="96"/>
    </row>
    <row r="325" ht="12.75" customHeight="1">
      <c r="C325" s="96"/>
      <c r="F325" s="96"/>
    </row>
    <row r="326" ht="12.75" customHeight="1">
      <c r="C326" s="96"/>
      <c r="F326" s="96"/>
    </row>
    <row r="327" ht="12.75" customHeight="1">
      <c r="C327" s="96"/>
      <c r="F327" s="96"/>
    </row>
    <row r="328" ht="12.75" customHeight="1">
      <c r="C328" s="96"/>
      <c r="F328" s="96"/>
    </row>
    <row r="329" ht="12.75" customHeight="1">
      <c r="C329" s="96"/>
      <c r="F329" s="96"/>
    </row>
    <row r="330" ht="12.75" customHeight="1">
      <c r="C330" s="96"/>
      <c r="F330" s="96"/>
    </row>
    <row r="331" ht="12.75" customHeight="1">
      <c r="C331" s="96"/>
      <c r="F331" s="96"/>
    </row>
    <row r="332" ht="12.75" customHeight="1">
      <c r="C332" s="96"/>
      <c r="F332" s="96"/>
    </row>
    <row r="333" ht="12.75" customHeight="1">
      <c r="C333" s="96"/>
      <c r="F333" s="96"/>
    </row>
    <row r="334" ht="12.75" customHeight="1">
      <c r="C334" s="96"/>
      <c r="F334" s="96"/>
    </row>
    <row r="335" ht="12.75" customHeight="1">
      <c r="C335" s="96"/>
      <c r="F335" s="96"/>
    </row>
    <row r="336" ht="12.75" customHeight="1">
      <c r="C336" s="96"/>
      <c r="F336" s="96"/>
    </row>
    <row r="337" ht="12.75" customHeight="1">
      <c r="C337" s="96"/>
      <c r="F337" s="96"/>
    </row>
    <row r="338" ht="12.75" customHeight="1">
      <c r="C338" s="96"/>
      <c r="F338" s="96"/>
    </row>
    <row r="339" ht="12.75" customHeight="1">
      <c r="C339" s="96"/>
      <c r="F339" s="96"/>
    </row>
    <row r="340" ht="12.75" customHeight="1">
      <c r="C340" s="96"/>
      <c r="F340" s="96"/>
    </row>
    <row r="341" ht="12.75" customHeight="1">
      <c r="C341" s="96"/>
      <c r="F341" s="96"/>
    </row>
    <row r="342" ht="12.75" customHeight="1">
      <c r="C342" s="96"/>
      <c r="F342" s="96"/>
    </row>
    <row r="343" ht="12.75" customHeight="1">
      <c r="C343" s="96"/>
      <c r="F343" s="96"/>
    </row>
    <row r="344" ht="12.75" customHeight="1">
      <c r="C344" s="96"/>
      <c r="F344" s="96"/>
    </row>
    <row r="345" ht="12.75" customHeight="1">
      <c r="C345" s="96"/>
      <c r="F345" s="96"/>
    </row>
    <row r="346" ht="12.75" customHeight="1">
      <c r="C346" s="96"/>
      <c r="F346" s="96"/>
    </row>
    <row r="347" ht="12.75" customHeight="1">
      <c r="C347" s="96"/>
      <c r="F347" s="96"/>
    </row>
    <row r="348" ht="12.75" customHeight="1">
      <c r="C348" s="96"/>
      <c r="F348" s="96"/>
    </row>
    <row r="349" ht="12.75" customHeight="1">
      <c r="C349" s="96"/>
      <c r="F349" s="96"/>
    </row>
    <row r="350" ht="12.75" customHeight="1">
      <c r="C350" s="96"/>
      <c r="F350" s="96"/>
    </row>
    <row r="351" ht="12.75" customHeight="1">
      <c r="C351" s="96"/>
      <c r="F351" s="96"/>
    </row>
    <row r="352" ht="12.75" customHeight="1">
      <c r="C352" s="96"/>
      <c r="F352" s="96"/>
    </row>
    <row r="353" ht="12.75" customHeight="1">
      <c r="C353" s="96"/>
      <c r="F353" s="96"/>
    </row>
    <row r="354" ht="12.75" customHeight="1">
      <c r="C354" s="96"/>
      <c r="F354" s="96"/>
    </row>
    <row r="355" ht="12.75" customHeight="1">
      <c r="C355" s="96"/>
      <c r="F355" s="96"/>
    </row>
    <row r="356" ht="12.75" customHeight="1">
      <c r="C356" s="96"/>
      <c r="F356" s="96"/>
    </row>
    <row r="357" ht="12.75" customHeight="1">
      <c r="C357" s="96"/>
      <c r="F357" s="96"/>
    </row>
    <row r="358" ht="12.75" customHeight="1">
      <c r="C358" s="96"/>
      <c r="F358" s="96"/>
    </row>
    <row r="359" ht="12.75" customHeight="1">
      <c r="C359" s="96"/>
      <c r="F359" s="96"/>
    </row>
    <row r="360" ht="12.75" customHeight="1">
      <c r="C360" s="96"/>
      <c r="F360" s="96"/>
    </row>
    <row r="361" ht="12.75" customHeight="1">
      <c r="C361" s="96"/>
      <c r="F361" s="96"/>
    </row>
    <row r="362" ht="12.75" customHeight="1">
      <c r="C362" s="96"/>
      <c r="F362" s="96"/>
    </row>
    <row r="363" ht="12.75" customHeight="1">
      <c r="C363" s="96"/>
      <c r="F363" s="96"/>
    </row>
    <row r="364" ht="12.75" customHeight="1">
      <c r="C364" s="96"/>
      <c r="F364" s="96"/>
    </row>
    <row r="365" ht="12.75" customHeight="1">
      <c r="C365" s="96"/>
      <c r="F365" s="96"/>
    </row>
    <row r="366" ht="12.75" customHeight="1">
      <c r="C366" s="96"/>
      <c r="F366" s="96"/>
    </row>
    <row r="367" ht="12.75" customHeight="1">
      <c r="C367" s="96"/>
      <c r="F367" s="96"/>
    </row>
    <row r="368" ht="12.75" customHeight="1">
      <c r="C368" s="96"/>
      <c r="F368" s="96"/>
    </row>
    <row r="369" ht="12.75" customHeight="1">
      <c r="C369" s="96"/>
      <c r="F369" s="96"/>
    </row>
    <row r="370" ht="12.75" customHeight="1">
      <c r="C370" s="96"/>
      <c r="F370" s="96"/>
    </row>
    <row r="371" ht="12.75" customHeight="1">
      <c r="C371" s="96"/>
      <c r="F371" s="96"/>
    </row>
    <row r="372" ht="12.75" customHeight="1">
      <c r="C372" s="96"/>
      <c r="F372" s="96"/>
    </row>
    <row r="373" ht="12.75" customHeight="1">
      <c r="C373" s="96"/>
      <c r="F373" s="96"/>
    </row>
    <row r="374" ht="12.75" customHeight="1">
      <c r="C374" s="96"/>
      <c r="F374" s="96"/>
    </row>
    <row r="375" ht="12.75" customHeight="1">
      <c r="C375" s="96"/>
      <c r="F375" s="96"/>
    </row>
    <row r="376" ht="12.75" customHeight="1">
      <c r="C376" s="96"/>
      <c r="F376" s="96"/>
    </row>
    <row r="377" ht="12.75" customHeight="1">
      <c r="C377" s="96"/>
      <c r="F377" s="96"/>
    </row>
    <row r="378" ht="12.75" customHeight="1">
      <c r="C378" s="96"/>
      <c r="F378" s="96"/>
    </row>
    <row r="379" ht="12.75" customHeight="1">
      <c r="C379" s="96"/>
      <c r="F379" s="96"/>
    </row>
    <row r="380" ht="12.75" customHeight="1">
      <c r="C380" s="96"/>
      <c r="F380" s="96"/>
    </row>
    <row r="381" ht="12.75" customHeight="1">
      <c r="C381" s="96"/>
      <c r="F381" s="96"/>
    </row>
    <row r="382" ht="12.75" customHeight="1">
      <c r="C382" s="96"/>
      <c r="F382" s="96"/>
    </row>
    <row r="383" ht="12.75" customHeight="1">
      <c r="C383" s="96"/>
      <c r="F383" s="96"/>
    </row>
    <row r="384" ht="12.75" customHeight="1">
      <c r="C384" s="96"/>
      <c r="F384" s="96"/>
    </row>
    <row r="385" ht="12.75" customHeight="1">
      <c r="C385" s="96"/>
      <c r="F385" s="96"/>
    </row>
    <row r="386" ht="12.75" customHeight="1">
      <c r="C386" s="96"/>
      <c r="F386" s="96"/>
    </row>
    <row r="387" ht="12.75" customHeight="1">
      <c r="C387" s="96"/>
      <c r="F387" s="96"/>
    </row>
    <row r="388" ht="12.75" customHeight="1">
      <c r="C388" s="96"/>
      <c r="F388" s="96"/>
    </row>
    <row r="389" ht="12.75" customHeight="1">
      <c r="C389" s="96"/>
      <c r="F389" s="96"/>
    </row>
    <row r="390" ht="12.75" customHeight="1">
      <c r="C390" s="96"/>
      <c r="F390" s="96"/>
    </row>
    <row r="391" ht="12.75" customHeight="1">
      <c r="C391" s="96"/>
      <c r="F391" s="96"/>
    </row>
    <row r="392" ht="12.75" customHeight="1">
      <c r="C392" s="96"/>
      <c r="F392" s="96"/>
    </row>
    <row r="393" ht="12.75" customHeight="1">
      <c r="C393" s="96"/>
      <c r="F393" s="96"/>
    </row>
    <row r="394" ht="12.75" customHeight="1">
      <c r="C394" s="96"/>
      <c r="F394" s="96"/>
    </row>
    <row r="395" ht="12.75" customHeight="1">
      <c r="C395" s="96"/>
      <c r="F395" s="96"/>
    </row>
    <row r="396" ht="12.75" customHeight="1">
      <c r="C396" s="96"/>
      <c r="F396" s="96"/>
    </row>
    <row r="397" ht="12.75" customHeight="1">
      <c r="C397" s="96"/>
      <c r="F397" s="96"/>
    </row>
    <row r="398" ht="12.75" customHeight="1">
      <c r="C398" s="96"/>
      <c r="F398" s="96"/>
    </row>
    <row r="399" ht="12.75" customHeight="1">
      <c r="C399" s="96"/>
      <c r="F399" s="96"/>
    </row>
    <row r="400" ht="12.75" customHeight="1">
      <c r="C400" s="96"/>
      <c r="F400" s="96"/>
    </row>
    <row r="401" ht="12.75" customHeight="1">
      <c r="C401" s="96"/>
      <c r="F401" s="96"/>
    </row>
    <row r="402" ht="12.75" customHeight="1">
      <c r="C402" s="96"/>
      <c r="F402" s="96"/>
    </row>
    <row r="403" ht="12.75" customHeight="1">
      <c r="C403" s="96"/>
      <c r="F403" s="96"/>
    </row>
    <row r="404" ht="12.75" customHeight="1">
      <c r="C404" s="96"/>
      <c r="F404" s="96"/>
    </row>
    <row r="405" ht="12.75" customHeight="1">
      <c r="C405" s="96"/>
      <c r="F405" s="96"/>
    </row>
    <row r="406" ht="12.75" customHeight="1">
      <c r="C406" s="96"/>
      <c r="F406" s="96"/>
    </row>
    <row r="407" ht="12.75" customHeight="1">
      <c r="C407" s="96"/>
      <c r="F407" s="96"/>
    </row>
    <row r="408" ht="12.75" customHeight="1">
      <c r="C408" s="96"/>
      <c r="F408" s="96"/>
    </row>
    <row r="409" ht="12.75" customHeight="1">
      <c r="C409" s="96"/>
      <c r="F409" s="96"/>
    </row>
    <row r="410" ht="12.75" customHeight="1">
      <c r="C410" s="96"/>
      <c r="F410" s="96"/>
    </row>
    <row r="411" ht="12.75" customHeight="1">
      <c r="C411" s="96"/>
      <c r="F411" s="96"/>
    </row>
    <row r="412" ht="12.75" customHeight="1">
      <c r="C412" s="96"/>
      <c r="F412" s="96"/>
    </row>
    <row r="413" ht="12.75" customHeight="1">
      <c r="C413" s="96"/>
      <c r="F413" s="96"/>
    </row>
    <row r="414" ht="12.75" customHeight="1">
      <c r="C414" s="96"/>
      <c r="F414" s="96"/>
    </row>
    <row r="415" ht="12.75" customHeight="1">
      <c r="C415" s="96"/>
      <c r="F415" s="96"/>
    </row>
    <row r="416" ht="12.75" customHeight="1">
      <c r="C416" s="96"/>
      <c r="F416" s="96"/>
    </row>
    <row r="417" ht="12.75" customHeight="1">
      <c r="C417" s="96"/>
      <c r="F417" s="96"/>
    </row>
    <row r="418" ht="12.75" customHeight="1">
      <c r="C418" s="96"/>
      <c r="F418" s="96"/>
    </row>
    <row r="419" ht="12.75" customHeight="1">
      <c r="C419" s="96"/>
      <c r="F419" s="96"/>
    </row>
    <row r="420" ht="12.75" customHeight="1">
      <c r="C420" s="96"/>
      <c r="F420" s="96"/>
    </row>
    <row r="421" ht="12.75" customHeight="1">
      <c r="C421" s="96"/>
      <c r="F421" s="96"/>
    </row>
    <row r="422" ht="12.75" customHeight="1">
      <c r="C422" s="96"/>
      <c r="F422" s="96"/>
    </row>
    <row r="423" ht="12.75" customHeight="1">
      <c r="C423" s="96"/>
      <c r="F423" s="96"/>
    </row>
    <row r="424" ht="12.75" customHeight="1">
      <c r="C424" s="96"/>
      <c r="F424" s="96"/>
    </row>
    <row r="425" ht="12.75" customHeight="1">
      <c r="C425" s="96"/>
      <c r="F425" s="96"/>
    </row>
    <row r="426" ht="12.75" customHeight="1">
      <c r="C426" s="96"/>
      <c r="F426" s="96"/>
    </row>
    <row r="427" ht="12.75" customHeight="1">
      <c r="C427" s="96"/>
      <c r="F427" s="96"/>
    </row>
    <row r="428" ht="12.75" customHeight="1">
      <c r="C428" s="96"/>
      <c r="F428" s="96"/>
    </row>
    <row r="429" ht="12.75" customHeight="1">
      <c r="C429" s="96"/>
      <c r="F429" s="96"/>
    </row>
    <row r="430" ht="12.75" customHeight="1">
      <c r="C430" s="96"/>
      <c r="F430" s="96"/>
    </row>
    <row r="431" ht="12.75" customHeight="1">
      <c r="C431" s="96"/>
      <c r="F431" s="96"/>
    </row>
    <row r="432" ht="12.75" customHeight="1">
      <c r="C432" s="96"/>
      <c r="F432" s="96"/>
    </row>
    <row r="433" ht="12.75" customHeight="1">
      <c r="C433" s="96"/>
      <c r="F433" s="96"/>
    </row>
    <row r="434" ht="12.75" customHeight="1">
      <c r="C434" s="96"/>
      <c r="F434" s="96"/>
    </row>
    <row r="435" ht="12.75" customHeight="1">
      <c r="C435" s="96"/>
      <c r="F435" s="96"/>
    </row>
    <row r="436" ht="12.75" customHeight="1">
      <c r="C436" s="96"/>
      <c r="F436" s="96"/>
    </row>
    <row r="437" ht="12.75" customHeight="1">
      <c r="C437" s="96"/>
      <c r="F437" s="96"/>
    </row>
    <row r="438" ht="12.75" customHeight="1">
      <c r="C438" s="96"/>
      <c r="F438" s="96"/>
    </row>
    <row r="439" ht="12.75" customHeight="1">
      <c r="C439" s="96"/>
      <c r="F439" s="96"/>
    </row>
    <row r="440" ht="12.75" customHeight="1">
      <c r="C440" s="96"/>
      <c r="F440" s="96"/>
    </row>
    <row r="441" ht="12.75" customHeight="1">
      <c r="C441" s="96"/>
      <c r="F441" s="96"/>
    </row>
    <row r="442" ht="12.75" customHeight="1">
      <c r="C442" s="96"/>
      <c r="F442" s="96"/>
    </row>
    <row r="443" ht="12.75" customHeight="1">
      <c r="C443" s="96"/>
      <c r="F443" s="96"/>
    </row>
    <row r="444" ht="12.75" customHeight="1">
      <c r="C444" s="96"/>
      <c r="F444" s="96"/>
    </row>
    <row r="445" ht="12.75" customHeight="1">
      <c r="C445" s="96"/>
      <c r="F445" s="96"/>
    </row>
    <row r="446" ht="12.75" customHeight="1">
      <c r="C446" s="96"/>
      <c r="F446" s="96"/>
    </row>
    <row r="447" ht="12.75" customHeight="1">
      <c r="C447" s="96"/>
      <c r="F447" s="96"/>
    </row>
    <row r="448" ht="12.75" customHeight="1">
      <c r="C448" s="96"/>
      <c r="F448" s="96"/>
    </row>
    <row r="449" ht="12.75" customHeight="1">
      <c r="C449" s="96"/>
      <c r="F449" s="96"/>
    </row>
    <row r="450" ht="12.75" customHeight="1">
      <c r="C450" s="96"/>
      <c r="F450" s="96"/>
    </row>
    <row r="451" ht="12.75" customHeight="1">
      <c r="C451" s="96"/>
      <c r="F451" s="96"/>
    </row>
    <row r="452" ht="12.75" customHeight="1">
      <c r="C452" s="96"/>
      <c r="F452" s="96"/>
    </row>
    <row r="453" ht="12.75" customHeight="1">
      <c r="C453" s="96"/>
      <c r="F453" s="96"/>
    </row>
    <row r="454" ht="12.75" customHeight="1">
      <c r="C454" s="96"/>
      <c r="F454" s="96"/>
    </row>
    <row r="455" ht="12.75" customHeight="1">
      <c r="C455" s="96"/>
      <c r="F455" s="96"/>
    </row>
    <row r="456" ht="12.75" customHeight="1">
      <c r="C456" s="96"/>
      <c r="F456" s="96"/>
    </row>
    <row r="457" ht="12.75" customHeight="1">
      <c r="C457" s="96"/>
      <c r="F457" s="96"/>
    </row>
    <row r="458" ht="12.75" customHeight="1">
      <c r="C458" s="96"/>
      <c r="F458" s="96"/>
    </row>
    <row r="459" ht="12.75" customHeight="1">
      <c r="C459" s="96"/>
      <c r="F459" s="96"/>
    </row>
    <row r="460" ht="12.75" customHeight="1">
      <c r="C460" s="96"/>
      <c r="F460" s="96"/>
    </row>
    <row r="461" ht="12.75" customHeight="1">
      <c r="C461" s="96"/>
      <c r="F461" s="96"/>
    </row>
    <row r="462" ht="12.75" customHeight="1">
      <c r="C462" s="96"/>
      <c r="F462" s="96"/>
    </row>
    <row r="463" ht="12.75" customHeight="1">
      <c r="C463" s="96"/>
      <c r="F463" s="96"/>
    </row>
    <row r="464" ht="12.75" customHeight="1">
      <c r="C464" s="96"/>
      <c r="F464" s="96"/>
    </row>
    <row r="465" ht="12.75" customHeight="1">
      <c r="C465" s="96"/>
      <c r="F465" s="96"/>
    </row>
    <row r="466" ht="12.75" customHeight="1">
      <c r="C466" s="96"/>
      <c r="F466" s="96"/>
    </row>
    <row r="467" ht="12.75" customHeight="1">
      <c r="C467" s="96"/>
      <c r="F467" s="96"/>
    </row>
    <row r="468" ht="12.75" customHeight="1">
      <c r="C468" s="96"/>
      <c r="F468" s="96"/>
    </row>
    <row r="469" ht="12.75" customHeight="1">
      <c r="C469" s="96"/>
      <c r="F469" s="96"/>
    </row>
    <row r="470" ht="12.75" customHeight="1">
      <c r="C470" s="96"/>
      <c r="F470" s="96"/>
    </row>
    <row r="471" ht="12.75" customHeight="1">
      <c r="C471" s="96"/>
      <c r="F471" s="96"/>
    </row>
    <row r="472" ht="12.75" customHeight="1">
      <c r="C472" s="96"/>
      <c r="F472" s="96"/>
    </row>
    <row r="473" ht="12.75" customHeight="1">
      <c r="C473" s="96"/>
      <c r="F473" s="96"/>
    </row>
    <row r="474" ht="12.75" customHeight="1">
      <c r="C474" s="96"/>
      <c r="F474" s="96"/>
    </row>
    <row r="475" ht="12.75" customHeight="1">
      <c r="C475" s="96"/>
      <c r="F475" s="96"/>
    </row>
    <row r="476" ht="12.75" customHeight="1">
      <c r="C476" s="96"/>
      <c r="F476" s="96"/>
    </row>
    <row r="477" ht="12.75" customHeight="1">
      <c r="C477" s="96"/>
      <c r="F477" s="96"/>
    </row>
    <row r="478" ht="12.75" customHeight="1">
      <c r="C478" s="96"/>
      <c r="F478" s="96"/>
    </row>
    <row r="479" ht="12.75" customHeight="1">
      <c r="C479" s="96"/>
      <c r="F479" s="96"/>
    </row>
    <row r="480" ht="12.75" customHeight="1">
      <c r="C480" s="96"/>
      <c r="F480" s="96"/>
    </row>
    <row r="481" ht="12.75" customHeight="1">
      <c r="C481" s="96"/>
      <c r="F481" s="96"/>
    </row>
    <row r="482" ht="12.75" customHeight="1">
      <c r="C482" s="96"/>
      <c r="F482" s="96"/>
    </row>
    <row r="483" ht="12.75" customHeight="1">
      <c r="C483" s="96"/>
      <c r="F483" s="96"/>
    </row>
    <row r="484" ht="12.75" customHeight="1">
      <c r="C484" s="96"/>
      <c r="F484" s="96"/>
    </row>
    <row r="485" ht="12.75" customHeight="1">
      <c r="C485" s="96"/>
      <c r="F485" s="96"/>
    </row>
    <row r="486" ht="12.75" customHeight="1">
      <c r="C486" s="96"/>
      <c r="F486" s="96"/>
    </row>
    <row r="487" ht="12.75" customHeight="1">
      <c r="C487" s="96"/>
      <c r="F487" s="96"/>
    </row>
    <row r="488" ht="12.75" customHeight="1">
      <c r="C488" s="96"/>
      <c r="F488" s="96"/>
    </row>
    <row r="489" ht="12.75" customHeight="1">
      <c r="C489" s="96"/>
      <c r="F489" s="96"/>
    </row>
    <row r="490" ht="12.75" customHeight="1">
      <c r="C490" s="96"/>
      <c r="F490" s="96"/>
    </row>
    <row r="491" ht="12.75" customHeight="1">
      <c r="C491" s="96"/>
      <c r="F491" s="96"/>
    </row>
    <row r="492" ht="12.75" customHeight="1">
      <c r="C492" s="96"/>
      <c r="F492" s="96"/>
    </row>
    <row r="493" ht="12.75" customHeight="1">
      <c r="C493" s="96"/>
      <c r="F493" s="96"/>
    </row>
    <row r="494" ht="12.75" customHeight="1">
      <c r="C494" s="96"/>
      <c r="F494" s="96"/>
    </row>
    <row r="495" ht="12.75" customHeight="1">
      <c r="C495" s="96"/>
      <c r="F495" s="96"/>
    </row>
    <row r="496" ht="12.75" customHeight="1">
      <c r="C496" s="96"/>
      <c r="F496" s="96"/>
    </row>
    <row r="497" ht="12.75" customHeight="1">
      <c r="C497" s="96"/>
      <c r="F497" s="96"/>
    </row>
    <row r="498" ht="12.75" customHeight="1">
      <c r="C498" s="96"/>
      <c r="F498" s="96"/>
    </row>
    <row r="499" ht="12.75" customHeight="1">
      <c r="C499" s="96"/>
      <c r="F499" s="96"/>
    </row>
    <row r="500" ht="12.75" customHeight="1">
      <c r="C500" s="96"/>
      <c r="F500" s="96"/>
    </row>
    <row r="501" ht="12.75" customHeight="1">
      <c r="C501" s="96"/>
      <c r="F501" s="96"/>
    </row>
    <row r="502" ht="12.75" customHeight="1">
      <c r="C502" s="96"/>
      <c r="F502" s="96"/>
    </row>
    <row r="503" ht="12.75" customHeight="1">
      <c r="C503" s="96"/>
      <c r="F503" s="96"/>
    </row>
    <row r="504" ht="12.75" customHeight="1">
      <c r="C504" s="96"/>
      <c r="F504" s="96"/>
    </row>
    <row r="505" ht="12.75" customHeight="1">
      <c r="C505" s="96"/>
      <c r="F505" s="96"/>
    </row>
    <row r="506" ht="12.75" customHeight="1">
      <c r="C506" s="96"/>
      <c r="F506" s="96"/>
    </row>
    <row r="507" ht="12.75" customHeight="1">
      <c r="C507" s="96"/>
      <c r="F507" s="96"/>
    </row>
    <row r="508" ht="12.75" customHeight="1">
      <c r="C508" s="96"/>
      <c r="F508" s="96"/>
    </row>
    <row r="509" ht="12.75" customHeight="1">
      <c r="C509" s="96"/>
      <c r="F509" s="96"/>
    </row>
    <row r="510" ht="12.75" customHeight="1">
      <c r="C510" s="96"/>
      <c r="F510" s="96"/>
    </row>
    <row r="511" ht="12.75" customHeight="1">
      <c r="C511" s="96"/>
      <c r="F511" s="96"/>
    </row>
    <row r="512" ht="12.75" customHeight="1">
      <c r="C512" s="96"/>
      <c r="F512" s="96"/>
    </row>
    <row r="513" ht="12.75" customHeight="1">
      <c r="C513" s="96"/>
      <c r="F513" s="96"/>
    </row>
    <row r="514" ht="12.75" customHeight="1">
      <c r="C514" s="96"/>
      <c r="F514" s="96"/>
    </row>
    <row r="515" ht="12.75" customHeight="1">
      <c r="C515" s="96"/>
      <c r="F515" s="96"/>
    </row>
    <row r="516" ht="12.75" customHeight="1">
      <c r="C516" s="96"/>
      <c r="F516" s="96"/>
    </row>
    <row r="517" ht="12.75" customHeight="1">
      <c r="C517" s="96"/>
      <c r="F517" s="96"/>
    </row>
    <row r="518" ht="12.75" customHeight="1">
      <c r="C518" s="96"/>
      <c r="F518" s="96"/>
    </row>
    <row r="519" ht="12.75" customHeight="1">
      <c r="C519" s="96"/>
      <c r="F519" s="96"/>
    </row>
    <row r="520" ht="12.75" customHeight="1">
      <c r="C520" s="96"/>
      <c r="F520" s="96"/>
    </row>
    <row r="521" ht="12.75" customHeight="1">
      <c r="C521" s="96"/>
      <c r="F521" s="96"/>
    </row>
    <row r="522" ht="12.75" customHeight="1">
      <c r="C522" s="96"/>
      <c r="F522" s="96"/>
    </row>
    <row r="523" ht="12.75" customHeight="1">
      <c r="C523" s="96"/>
      <c r="F523" s="96"/>
    </row>
    <row r="524" ht="12.75" customHeight="1">
      <c r="C524" s="96"/>
      <c r="F524" s="96"/>
    </row>
    <row r="525" ht="12.75" customHeight="1">
      <c r="C525" s="96"/>
      <c r="F525" s="96"/>
    </row>
    <row r="526" ht="12.75" customHeight="1">
      <c r="C526" s="96"/>
      <c r="F526" s="96"/>
    </row>
    <row r="527" ht="12.75" customHeight="1">
      <c r="C527" s="96"/>
      <c r="F527" s="96"/>
    </row>
    <row r="528" ht="12.75" customHeight="1">
      <c r="C528" s="96"/>
      <c r="F528" s="96"/>
    </row>
    <row r="529" ht="12.75" customHeight="1">
      <c r="C529" s="96"/>
      <c r="F529" s="96"/>
    </row>
    <row r="530" ht="12.75" customHeight="1">
      <c r="C530" s="96"/>
      <c r="F530" s="96"/>
    </row>
    <row r="531" ht="12.75" customHeight="1">
      <c r="C531" s="96"/>
      <c r="F531" s="96"/>
    </row>
    <row r="532" ht="12.75" customHeight="1">
      <c r="C532" s="96"/>
      <c r="F532" s="96"/>
    </row>
    <row r="533" ht="12.75" customHeight="1">
      <c r="C533" s="96"/>
      <c r="F533" s="96"/>
    </row>
    <row r="534" ht="12.75" customHeight="1">
      <c r="C534" s="96"/>
      <c r="F534" s="96"/>
    </row>
    <row r="535" ht="12.75" customHeight="1">
      <c r="C535" s="96"/>
      <c r="F535" s="96"/>
    </row>
    <row r="536" ht="12.75" customHeight="1">
      <c r="C536" s="96"/>
      <c r="F536" s="96"/>
    </row>
    <row r="537" ht="12.75" customHeight="1">
      <c r="C537" s="96"/>
      <c r="F537" s="96"/>
    </row>
    <row r="538" ht="12.75" customHeight="1">
      <c r="C538" s="96"/>
      <c r="F538" s="96"/>
    </row>
    <row r="539" ht="12.75" customHeight="1">
      <c r="C539" s="96"/>
      <c r="F539" s="96"/>
    </row>
    <row r="540" ht="12.75" customHeight="1">
      <c r="C540" s="96"/>
      <c r="F540" s="96"/>
    </row>
    <row r="541" ht="12.75" customHeight="1">
      <c r="C541" s="96"/>
      <c r="F541" s="96"/>
    </row>
    <row r="542" ht="12.75" customHeight="1">
      <c r="C542" s="96"/>
      <c r="F542" s="96"/>
    </row>
    <row r="543" ht="12.75" customHeight="1">
      <c r="C543" s="96"/>
      <c r="F543" s="96"/>
    </row>
    <row r="544" ht="12.75" customHeight="1">
      <c r="C544" s="96"/>
      <c r="F544" s="96"/>
    </row>
    <row r="545" ht="12.75" customHeight="1">
      <c r="C545" s="96"/>
      <c r="F545" s="96"/>
    </row>
    <row r="546" ht="12.75" customHeight="1">
      <c r="C546" s="96"/>
      <c r="F546" s="96"/>
    </row>
    <row r="547" ht="12.75" customHeight="1">
      <c r="C547" s="96"/>
      <c r="F547" s="96"/>
    </row>
    <row r="548" ht="12.75" customHeight="1">
      <c r="C548" s="96"/>
      <c r="F548" s="96"/>
    </row>
    <row r="549" ht="12.75" customHeight="1">
      <c r="C549" s="96"/>
      <c r="F549" s="96"/>
    </row>
    <row r="550" ht="12.75" customHeight="1">
      <c r="C550" s="96"/>
      <c r="F550" s="96"/>
    </row>
    <row r="551" ht="12.75" customHeight="1">
      <c r="C551" s="96"/>
      <c r="F551" s="96"/>
    </row>
    <row r="552" ht="12.75" customHeight="1">
      <c r="C552" s="96"/>
      <c r="F552" s="96"/>
    </row>
    <row r="553" ht="12.75" customHeight="1">
      <c r="C553" s="96"/>
      <c r="F553" s="96"/>
    </row>
    <row r="554" ht="12.75" customHeight="1">
      <c r="C554" s="96"/>
      <c r="F554" s="96"/>
    </row>
    <row r="555" ht="12.75" customHeight="1">
      <c r="C555" s="96"/>
      <c r="F555" s="96"/>
    </row>
    <row r="556" ht="12.75" customHeight="1">
      <c r="C556" s="96"/>
      <c r="F556" s="96"/>
    </row>
    <row r="557" ht="12.75" customHeight="1">
      <c r="C557" s="96"/>
      <c r="F557" s="96"/>
    </row>
    <row r="558" ht="12.75" customHeight="1">
      <c r="C558" s="96"/>
      <c r="F558" s="96"/>
    </row>
    <row r="559" ht="12.75" customHeight="1">
      <c r="C559" s="96"/>
      <c r="F559" s="96"/>
    </row>
    <row r="560" ht="12.75" customHeight="1">
      <c r="C560" s="96"/>
      <c r="F560" s="96"/>
    </row>
    <row r="561" ht="12.75" customHeight="1">
      <c r="C561" s="96"/>
      <c r="F561" s="96"/>
    </row>
    <row r="562" ht="12.75" customHeight="1">
      <c r="C562" s="96"/>
      <c r="F562" s="96"/>
    </row>
    <row r="563" ht="12.75" customHeight="1">
      <c r="C563" s="96"/>
      <c r="F563" s="96"/>
    </row>
    <row r="564" ht="12.75" customHeight="1">
      <c r="C564" s="96"/>
      <c r="F564" s="96"/>
    </row>
    <row r="565" ht="12.75" customHeight="1">
      <c r="C565" s="96"/>
      <c r="F565" s="96"/>
    </row>
    <row r="566" ht="12.75" customHeight="1">
      <c r="C566" s="96"/>
      <c r="F566" s="96"/>
    </row>
    <row r="567" ht="12.75" customHeight="1">
      <c r="C567" s="96"/>
      <c r="F567" s="96"/>
    </row>
    <row r="568" ht="12.75" customHeight="1">
      <c r="C568" s="96"/>
      <c r="F568" s="96"/>
    </row>
    <row r="569" ht="12.75" customHeight="1">
      <c r="C569" s="96"/>
      <c r="F569" s="96"/>
    </row>
    <row r="570" ht="12.75" customHeight="1">
      <c r="C570" s="96"/>
      <c r="F570" s="96"/>
    </row>
    <row r="571" ht="12.75" customHeight="1">
      <c r="C571" s="96"/>
      <c r="F571" s="96"/>
    </row>
    <row r="572" ht="12.75" customHeight="1">
      <c r="C572" s="96"/>
      <c r="F572" s="96"/>
    </row>
    <row r="573" ht="12.75" customHeight="1">
      <c r="C573" s="96"/>
      <c r="F573" s="96"/>
    </row>
    <row r="574" ht="12.75" customHeight="1">
      <c r="C574" s="96"/>
      <c r="F574" s="96"/>
    </row>
    <row r="575" ht="12.75" customHeight="1">
      <c r="C575" s="96"/>
      <c r="F575" s="96"/>
    </row>
    <row r="576" ht="12.75" customHeight="1">
      <c r="C576" s="96"/>
      <c r="F576" s="96"/>
    </row>
    <row r="577" ht="12.75" customHeight="1">
      <c r="C577" s="96"/>
      <c r="F577" s="96"/>
    </row>
    <row r="578" ht="12.75" customHeight="1">
      <c r="C578" s="96"/>
      <c r="F578" s="96"/>
    </row>
    <row r="579" ht="12.75" customHeight="1">
      <c r="C579" s="96"/>
      <c r="F579" s="96"/>
    </row>
    <row r="580" ht="12.75" customHeight="1">
      <c r="C580" s="96"/>
      <c r="F580" s="96"/>
    </row>
    <row r="581" ht="12.75" customHeight="1">
      <c r="C581" s="96"/>
      <c r="F581" s="96"/>
    </row>
    <row r="582" ht="12.75" customHeight="1">
      <c r="C582" s="96"/>
      <c r="F582" s="96"/>
    </row>
    <row r="583" ht="12.75" customHeight="1">
      <c r="C583" s="96"/>
      <c r="F583" s="96"/>
    </row>
    <row r="584" ht="12.75" customHeight="1">
      <c r="C584" s="96"/>
      <c r="F584" s="96"/>
    </row>
    <row r="585" ht="12.75" customHeight="1">
      <c r="C585" s="96"/>
      <c r="F585" s="96"/>
    </row>
    <row r="586" ht="12.75" customHeight="1">
      <c r="C586" s="96"/>
      <c r="F586" s="96"/>
    </row>
    <row r="587" ht="12.75" customHeight="1">
      <c r="C587" s="96"/>
      <c r="F587" s="96"/>
    </row>
    <row r="588" ht="12.75" customHeight="1">
      <c r="C588" s="96"/>
      <c r="F588" s="96"/>
    </row>
    <row r="589" ht="12.75" customHeight="1">
      <c r="C589" s="96"/>
      <c r="F589" s="96"/>
    </row>
    <row r="590" ht="12.75" customHeight="1">
      <c r="C590" s="96"/>
      <c r="F590" s="96"/>
    </row>
    <row r="591" ht="12.75" customHeight="1">
      <c r="C591" s="96"/>
      <c r="F591" s="96"/>
    </row>
    <row r="592" ht="12.75" customHeight="1">
      <c r="C592" s="96"/>
      <c r="F592" s="96"/>
    </row>
    <row r="593" ht="12.75" customHeight="1">
      <c r="C593" s="96"/>
      <c r="F593" s="96"/>
    </row>
    <row r="594" ht="12.75" customHeight="1">
      <c r="C594" s="96"/>
      <c r="F594" s="96"/>
    </row>
    <row r="595" ht="12.75" customHeight="1">
      <c r="C595" s="96"/>
      <c r="F595" s="96"/>
    </row>
    <row r="596" ht="12.75" customHeight="1">
      <c r="C596" s="96"/>
      <c r="F596" s="96"/>
    </row>
    <row r="597" ht="12.75" customHeight="1">
      <c r="C597" s="96"/>
      <c r="F597" s="96"/>
    </row>
    <row r="598" ht="12.75" customHeight="1">
      <c r="C598" s="96"/>
      <c r="F598" s="96"/>
    </row>
    <row r="599" ht="12.75" customHeight="1">
      <c r="C599" s="96"/>
      <c r="F599" s="96"/>
    </row>
    <row r="600" ht="12.75" customHeight="1">
      <c r="C600" s="96"/>
      <c r="F600" s="96"/>
    </row>
    <row r="601" ht="12.75" customHeight="1">
      <c r="C601" s="96"/>
      <c r="F601" s="96"/>
    </row>
    <row r="602" ht="12.75" customHeight="1">
      <c r="C602" s="96"/>
      <c r="F602" s="96"/>
    </row>
    <row r="603" ht="12.75" customHeight="1">
      <c r="C603" s="96"/>
      <c r="F603" s="96"/>
    </row>
    <row r="604" ht="12.75" customHeight="1">
      <c r="C604" s="96"/>
      <c r="F604" s="96"/>
    </row>
    <row r="605" ht="12.75" customHeight="1">
      <c r="C605" s="96"/>
      <c r="F605" s="96"/>
    </row>
    <row r="606" ht="12.75" customHeight="1">
      <c r="C606" s="96"/>
      <c r="F606" s="96"/>
    </row>
    <row r="607" ht="12.75" customHeight="1">
      <c r="C607" s="96"/>
      <c r="F607" s="96"/>
    </row>
    <row r="608" ht="12.75" customHeight="1">
      <c r="C608" s="96"/>
      <c r="F608" s="96"/>
    </row>
    <row r="609" ht="12.75" customHeight="1">
      <c r="C609" s="96"/>
      <c r="F609" s="96"/>
    </row>
    <row r="610" ht="12.75" customHeight="1">
      <c r="C610" s="96"/>
      <c r="F610" s="96"/>
    </row>
    <row r="611" ht="12.75" customHeight="1">
      <c r="C611" s="96"/>
      <c r="F611" s="96"/>
    </row>
    <row r="612" ht="12.75" customHeight="1">
      <c r="C612" s="96"/>
      <c r="F612" s="96"/>
    </row>
    <row r="613" ht="12.75" customHeight="1">
      <c r="C613" s="96"/>
      <c r="F613" s="96"/>
    </row>
    <row r="614" ht="12.75" customHeight="1">
      <c r="C614" s="96"/>
      <c r="F614" s="96"/>
    </row>
    <row r="615" ht="12.75" customHeight="1">
      <c r="C615" s="96"/>
      <c r="F615" s="96"/>
    </row>
    <row r="616" ht="12.75" customHeight="1">
      <c r="C616" s="96"/>
      <c r="F616" s="96"/>
    </row>
    <row r="617" ht="12.75" customHeight="1">
      <c r="C617" s="96"/>
      <c r="F617" s="96"/>
    </row>
    <row r="618" ht="12.75" customHeight="1">
      <c r="C618" s="96"/>
      <c r="F618" s="96"/>
    </row>
    <row r="619" ht="12.75" customHeight="1">
      <c r="C619" s="96"/>
      <c r="F619" s="96"/>
    </row>
    <row r="620" ht="12.75" customHeight="1">
      <c r="C620" s="96"/>
      <c r="F620" s="96"/>
    </row>
    <row r="621" ht="12.75" customHeight="1">
      <c r="C621" s="96"/>
      <c r="F621" s="96"/>
    </row>
    <row r="622" ht="12.75" customHeight="1">
      <c r="C622" s="96"/>
      <c r="F622" s="96"/>
    </row>
    <row r="623" ht="12.75" customHeight="1">
      <c r="C623" s="96"/>
      <c r="F623" s="96"/>
    </row>
    <row r="624" ht="12.75" customHeight="1">
      <c r="C624" s="96"/>
      <c r="F624" s="96"/>
    </row>
    <row r="625" ht="12.75" customHeight="1">
      <c r="C625" s="96"/>
      <c r="F625" s="96"/>
    </row>
    <row r="626" ht="12.75" customHeight="1">
      <c r="C626" s="96"/>
      <c r="F626" s="96"/>
    </row>
    <row r="627" ht="12.75" customHeight="1">
      <c r="C627" s="96"/>
      <c r="F627" s="96"/>
    </row>
    <row r="628" ht="12.75" customHeight="1">
      <c r="C628" s="96"/>
      <c r="F628" s="96"/>
    </row>
    <row r="629" ht="12.75" customHeight="1">
      <c r="C629" s="96"/>
      <c r="F629" s="96"/>
    </row>
    <row r="630" ht="12.75" customHeight="1">
      <c r="C630" s="96"/>
      <c r="F630" s="96"/>
    </row>
    <row r="631" ht="12.75" customHeight="1">
      <c r="C631" s="96"/>
      <c r="F631" s="96"/>
    </row>
    <row r="632" ht="12.75" customHeight="1">
      <c r="C632" s="96"/>
      <c r="F632" s="96"/>
    </row>
    <row r="633" ht="12.75" customHeight="1">
      <c r="C633" s="96"/>
      <c r="F633" s="96"/>
    </row>
    <row r="634" ht="12.75" customHeight="1">
      <c r="C634" s="96"/>
      <c r="F634" s="96"/>
    </row>
    <row r="635" ht="12.75" customHeight="1">
      <c r="C635" s="96"/>
      <c r="F635" s="96"/>
    </row>
    <row r="636" ht="12.75" customHeight="1">
      <c r="C636" s="96"/>
      <c r="F636" s="96"/>
    </row>
    <row r="637" ht="12.75" customHeight="1">
      <c r="C637" s="96"/>
      <c r="F637" s="96"/>
    </row>
    <row r="638" ht="12.75" customHeight="1">
      <c r="C638" s="96"/>
      <c r="F638" s="96"/>
    </row>
    <row r="639" ht="12.75" customHeight="1">
      <c r="C639" s="96"/>
      <c r="F639" s="96"/>
    </row>
    <row r="640" ht="12.75" customHeight="1">
      <c r="C640" s="96"/>
      <c r="F640" s="96"/>
    </row>
    <row r="641" ht="12.75" customHeight="1">
      <c r="C641" s="96"/>
      <c r="F641" s="96"/>
    </row>
    <row r="642" ht="12.75" customHeight="1">
      <c r="C642" s="96"/>
      <c r="F642" s="96"/>
    </row>
    <row r="643" ht="12.75" customHeight="1">
      <c r="C643" s="96"/>
      <c r="F643" s="96"/>
    </row>
    <row r="644" ht="12.75" customHeight="1">
      <c r="C644" s="96"/>
      <c r="F644" s="96"/>
    </row>
    <row r="645" ht="12.75" customHeight="1">
      <c r="C645" s="96"/>
      <c r="F645" s="96"/>
    </row>
    <row r="646" ht="12.75" customHeight="1">
      <c r="C646" s="96"/>
      <c r="F646" s="96"/>
    </row>
    <row r="647" ht="12.75" customHeight="1">
      <c r="C647" s="96"/>
      <c r="F647" s="96"/>
    </row>
    <row r="648" ht="12.75" customHeight="1">
      <c r="C648" s="96"/>
      <c r="F648" s="96"/>
    </row>
    <row r="649" ht="12.75" customHeight="1">
      <c r="C649" s="96"/>
      <c r="F649" s="96"/>
    </row>
    <row r="650" ht="12.75" customHeight="1">
      <c r="C650" s="96"/>
      <c r="F650" s="96"/>
    </row>
    <row r="651" ht="12.75" customHeight="1">
      <c r="C651" s="96"/>
      <c r="F651" s="96"/>
    </row>
    <row r="652" ht="12.75" customHeight="1">
      <c r="C652" s="96"/>
      <c r="F652" s="96"/>
    </row>
    <row r="653" ht="12.75" customHeight="1">
      <c r="C653" s="96"/>
      <c r="F653" s="96"/>
    </row>
    <row r="654" ht="12.75" customHeight="1">
      <c r="C654" s="96"/>
      <c r="F654" s="96"/>
    </row>
    <row r="655" ht="12.75" customHeight="1">
      <c r="C655" s="96"/>
      <c r="F655" s="96"/>
    </row>
    <row r="656" ht="12.75" customHeight="1">
      <c r="C656" s="96"/>
      <c r="F656" s="96"/>
    </row>
    <row r="657" ht="12.75" customHeight="1">
      <c r="C657" s="96"/>
      <c r="F657" s="96"/>
    </row>
    <row r="658" ht="12.75" customHeight="1">
      <c r="C658" s="96"/>
      <c r="F658" s="96"/>
    </row>
    <row r="659" ht="12.75" customHeight="1">
      <c r="C659" s="96"/>
      <c r="F659" s="96"/>
    </row>
    <row r="660" ht="12.75" customHeight="1">
      <c r="C660" s="96"/>
      <c r="F660" s="96"/>
    </row>
    <row r="661" ht="12.75" customHeight="1">
      <c r="C661" s="96"/>
      <c r="F661" s="96"/>
    </row>
    <row r="662" ht="12.75" customHeight="1">
      <c r="C662" s="96"/>
      <c r="F662" s="96"/>
    </row>
    <row r="663" ht="12.75" customHeight="1">
      <c r="C663" s="96"/>
      <c r="F663" s="96"/>
    </row>
    <row r="664" ht="12.75" customHeight="1">
      <c r="C664" s="96"/>
      <c r="F664" s="96"/>
    </row>
    <row r="665" ht="12.75" customHeight="1">
      <c r="C665" s="96"/>
      <c r="F665" s="96"/>
    </row>
    <row r="666" ht="12.75" customHeight="1">
      <c r="C666" s="96"/>
      <c r="F666" s="96"/>
    </row>
    <row r="667" ht="12.75" customHeight="1">
      <c r="C667" s="96"/>
      <c r="F667" s="96"/>
    </row>
    <row r="668" ht="12.75" customHeight="1">
      <c r="C668" s="96"/>
      <c r="F668" s="96"/>
    </row>
    <row r="669" ht="12.75" customHeight="1">
      <c r="C669" s="96"/>
      <c r="F669" s="96"/>
    </row>
    <row r="670" ht="12.75" customHeight="1">
      <c r="C670" s="96"/>
      <c r="F670" s="96"/>
    </row>
    <row r="671" ht="12.75" customHeight="1">
      <c r="C671" s="96"/>
      <c r="F671" s="96"/>
    </row>
    <row r="672" ht="12.75" customHeight="1">
      <c r="C672" s="96"/>
      <c r="F672" s="96"/>
    </row>
    <row r="673" ht="12.75" customHeight="1">
      <c r="C673" s="96"/>
      <c r="F673" s="96"/>
    </row>
    <row r="674" ht="12.75" customHeight="1">
      <c r="C674" s="96"/>
      <c r="F674" s="96"/>
    </row>
    <row r="675" ht="12.75" customHeight="1">
      <c r="C675" s="96"/>
      <c r="F675" s="96"/>
    </row>
    <row r="676" ht="12.75" customHeight="1">
      <c r="C676" s="96"/>
      <c r="F676" s="96"/>
    </row>
    <row r="677" ht="12.75" customHeight="1">
      <c r="C677" s="96"/>
      <c r="F677" s="96"/>
    </row>
    <row r="678" ht="12.75" customHeight="1">
      <c r="C678" s="96"/>
      <c r="F678" s="96"/>
    </row>
    <row r="679" ht="12.75" customHeight="1">
      <c r="C679" s="96"/>
      <c r="F679" s="96"/>
    </row>
    <row r="680" ht="12.75" customHeight="1">
      <c r="C680" s="96"/>
      <c r="F680" s="96"/>
    </row>
    <row r="681" ht="12.75" customHeight="1">
      <c r="C681" s="96"/>
      <c r="F681" s="96"/>
    </row>
    <row r="682" ht="12.75" customHeight="1">
      <c r="C682" s="96"/>
      <c r="F682" s="96"/>
    </row>
    <row r="683" ht="12.75" customHeight="1">
      <c r="C683" s="96"/>
      <c r="F683" s="96"/>
    </row>
    <row r="684" ht="12.75" customHeight="1">
      <c r="C684" s="96"/>
      <c r="F684" s="96"/>
    </row>
    <row r="685" ht="12.75" customHeight="1">
      <c r="C685" s="96"/>
      <c r="F685" s="96"/>
    </row>
    <row r="686" ht="12.75" customHeight="1">
      <c r="C686" s="96"/>
      <c r="F686" s="96"/>
    </row>
    <row r="687" ht="12.75" customHeight="1">
      <c r="C687" s="96"/>
      <c r="F687" s="96"/>
    </row>
    <row r="688" ht="12.75" customHeight="1">
      <c r="C688" s="96"/>
      <c r="F688" s="96"/>
    </row>
    <row r="689" ht="12.75" customHeight="1">
      <c r="C689" s="96"/>
      <c r="F689" s="96"/>
    </row>
    <row r="690" ht="12.75" customHeight="1">
      <c r="C690" s="96"/>
      <c r="F690" s="96"/>
    </row>
    <row r="691" ht="12.75" customHeight="1">
      <c r="C691" s="96"/>
      <c r="F691" s="96"/>
    </row>
    <row r="692" ht="12.75" customHeight="1">
      <c r="C692" s="96"/>
      <c r="F692" s="96"/>
    </row>
    <row r="693" ht="12.75" customHeight="1">
      <c r="C693" s="96"/>
      <c r="F693" s="96"/>
    </row>
    <row r="694" ht="12.75" customHeight="1">
      <c r="C694" s="96"/>
      <c r="F694" s="96"/>
    </row>
    <row r="695" ht="12.75" customHeight="1">
      <c r="C695" s="96"/>
      <c r="F695" s="96"/>
    </row>
    <row r="696" ht="12.75" customHeight="1">
      <c r="C696" s="96"/>
      <c r="F696" s="96"/>
    </row>
    <row r="697" ht="12.75" customHeight="1">
      <c r="C697" s="96"/>
      <c r="F697" s="96"/>
    </row>
    <row r="698" ht="12.75" customHeight="1">
      <c r="C698" s="96"/>
      <c r="F698" s="96"/>
    </row>
    <row r="699" ht="12.75" customHeight="1">
      <c r="C699" s="96"/>
      <c r="F699" s="96"/>
    </row>
    <row r="700" ht="12.75" customHeight="1">
      <c r="C700" s="96"/>
      <c r="F700" s="96"/>
    </row>
    <row r="701" ht="12.75" customHeight="1">
      <c r="C701" s="96"/>
      <c r="F701" s="96"/>
    </row>
    <row r="702" ht="12.75" customHeight="1">
      <c r="C702" s="96"/>
      <c r="F702" s="96"/>
    </row>
    <row r="703" ht="12.75" customHeight="1">
      <c r="C703" s="96"/>
      <c r="F703" s="96"/>
    </row>
    <row r="704" ht="12.75" customHeight="1">
      <c r="C704" s="96"/>
      <c r="F704" s="96"/>
    </row>
    <row r="705" ht="12.75" customHeight="1">
      <c r="C705" s="96"/>
      <c r="F705" s="96"/>
    </row>
    <row r="706" ht="12.75" customHeight="1">
      <c r="C706" s="96"/>
      <c r="F706" s="96"/>
    </row>
    <row r="707" ht="12.75" customHeight="1">
      <c r="C707" s="96"/>
      <c r="F707" s="96"/>
    </row>
    <row r="708" ht="12.75" customHeight="1">
      <c r="C708" s="96"/>
      <c r="F708" s="96"/>
    </row>
    <row r="709" ht="12.75" customHeight="1">
      <c r="C709" s="96"/>
      <c r="F709" s="96"/>
    </row>
    <row r="710" ht="12.75" customHeight="1">
      <c r="C710" s="96"/>
      <c r="F710" s="96"/>
    </row>
    <row r="711" ht="12.75" customHeight="1">
      <c r="C711" s="96"/>
      <c r="F711" s="96"/>
    </row>
    <row r="712" ht="12.75" customHeight="1">
      <c r="C712" s="96"/>
      <c r="F712" s="96"/>
    </row>
    <row r="713" ht="12.75" customHeight="1">
      <c r="C713" s="96"/>
      <c r="F713" s="96"/>
    </row>
    <row r="714" ht="12.75" customHeight="1">
      <c r="C714" s="96"/>
      <c r="F714" s="96"/>
    </row>
    <row r="715" ht="12.75" customHeight="1">
      <c r="C715" s="96"/>
      <c r="F715" s="96"/>
    </row>
    <row r="716" ht="12.75" customHeight="1">
      <c r="C716" s="96"/>
      <c r="F716" s="96"/>
    </row>
    <row r="717" ht="12.75" customHeight="1">
      <c r="C717" s="96"/>
      <c r="F717" s="96"/>
    </row>
    <row r="718" ht="12.75" customHeight="1">
      <c r="C718" s="96"/>
      <c r="F718" s="96"/>
    </row>
    <row r="719" ht="12.75" customHeight="1">
      <c r="C719" s="96"/>
      <c r="F719" s="96"/>
    </row>
    <row r="720" ht="12.75" customHeight="1">
      <c r="C720" s="96"/>
      <c r="F720" s="96"/>
    </row>
    <row r="721" ht="12.75" customHeight="1">
      <c r="C721" s="96"/>
      <c r="F721" s="96"/>
    </row>
    <row r="722" ht="12.75" customHeight="1">
      <c r="C722" s="96"/>
      <c r="F722" s="96"/>
    </row>
    <row r="723" ht="12.75" customHeight="1">
      <c r="C723" s="96"/>
      <c r="F723" s="96"/>
    </row>
    <row r="724" ht="12.75" customHeight="1">
      <c r="C724" s="96"/>
      <c r="F724" s="96"/>
    </row>
    <row r="725" ht="12.75" customHeight="1">
      <c r="C725" s="96"/>
      <c r="F725" s="96"/>
    </row>
    <row r="726" ht="12.75" customHeight="1">
      <c r="C726" s="96"/>
      <c r="F726" s="96"/>
    </row>
    <row r="727" ht="12.75" customHeight="1">
      <c r="C727" s="96"/>
      <c r="F727" s="96"/>
    </row>
    <row r="728" ht="12.75" customHeight="1">
      <c r="C728" s="96"/>
      <c r="F728" s="96"/>
    </row>
    <row r="729" ht="12.75" customHeight="1">
      <c r="C729" s="96"/>
      <c r="F729" s="96"/>
    </row>
    <row r="730" ht="12.75" customHeight="1">
      <c r="C730" s="96"/>
      <c r="F730" s="96"/>
    </row>
    <row r="731" ht="12.75" customHeight="1">
      <c r="C731" s="96"/>
      <c r="F731" s="96"/>
    </row>
    <row r="732" ht="12.75" customHeight="1">
      <c r="C732" s="96"/>
      <c r="F732" s="96"/>
    </row>
    <row r="733" ht="12.75" customHeight="1">
      <c r="C733" s="96"/>
      <c r="F733" s="96"/>
    </row>
    <row r="734" ht="12.75" customHeight="1">
      <c r="C734" s="96"/>
      <c r="F734" s="96"/>
    </row>
    <row r="735" ht="12.75" customHeight="1">
      <c r="C735" s="96"/>
      <c r="F735" s="96"/>
    </row>
    <row r="736" ht="12.75" customHeight="1">
      <c r="C736" s="96"/>
      <c r="F736" s="96"/>
    </row>
    <row r="737" ht="12.75" customHeight="1">
      <c r="C737" s="96"/>
      <c r="F737" s="96"/>
    </row>
    <row r="738" ht="12.75" customHeight="1">
      <c r="C738" s="96"/>
      <c r="F738" s="96"/>
    </row>
    <row r="739" ht="12.75" customHeight="1">
      <c r="C739" s="96"/>
      <c r="F739" s="96"/>
    </row>
    <row r="740" ht="12.75" customHeight="1">
      <c r="C740" s="96"/>
      <c r="F740" s="96"/>
    </row>
    <row r="741" ht="12.75" customHeight="1">
      <c r="C741" s="96"/>
      <c r="F741" s="96"/>
    </row>
    <row r="742" ht="12.75" customHeight="1">
      <c r="C742" s="96"/>
      <c r="F742" s="96"/>
    </row>
    <row r="743" ht="12.75" customHeight="1">
      <c r="C743" s="96"/>
      <c r="F743" s="96"/>
    </row>
    <row r="744" ht="12.75" customHeight="1">
      <c r="C744" s="96"/>
      <c r="F744" s="96"/>
    </row>
    <row r="745" ht="12.75" customHeight="1">
      <c r="C745" s="96"/>
      <c r="F745" s="96"/>
    </row>
    <row r="746" ht="12.75" customHeight="1">
      <c r="C746" s="96"/>
      <c r="F746" s="96"/>
    </row>
    <row r="747" ht="12.75" customHeight="1">
      <c r="C747" s="96"/>
      <c r="F747" s="96"/>
    </row>
    <row r="748" ht="12.75" customHeight="1">
      <c r="C748" s="96"/>
      <c r="F748" s="96"/>
    </row>
    <row r="749" ht="12.75" customHeight="1">
      <c r="C749" s="96"/>
      <c r="F749" s="96"/>
    </row>
    <row r="750" ht="12.75" customHeight="1">
      <c r="C750" s="96"/>
      <c r="F750" s="96"/>
    </row>
    <row r="751" ht="12.75" customHeight="1">
      <c r="C751" s="96"/>
      <c r="F751" s="96"/>
    </row>
    <row r="752" ht="12.75" customHeight="1">
      <c r="C752" s="96"/>
      <c r="F752" s="96"/>
    </row>
    <row r="753" ht="12.75" customHeight="1">
      <c r="C753" s="96"/>
      <c r="F753" s="96"/>
    </row>
    <row r="754" ht="12.75" customHeight="1">
      <c r="C754" s="96"/>
      <c r="F754" s="96"/>
    </row>
    <row r="755" ht="12.75" customHeight="1">
      <c r="C755" s="96"/>
      <c r="F755" s="96"/>
    </row>
    <row r="756" ht="12.75" customHeight="1">
      <c r="C756" s="96"/>
      <c r="F756" s="96"/>
    </row>
    <row r="757" ht="12.75" customHeight="1">
      <c r="C757" s="96"/>
      <c r="F757" s="96"/>
    </row>
    <row r="758" ht="12.75" customHeight="1">
      <c r="C758" s="96"/>
      <c r="F758" s="96"/>
    </row>
    <row r="759" ht="12.75" customHeight="1">
      <c r="C759" s="96"/>
      <c r="F759" s="96"/>
    </row>
    <row r="760" ht="12.75" customHeight="1">
      <c r="C760" s="96"/>
      <c r="F760" s="96"/>
    </row>
    <row r="761" ht="12.75" customHeight="1">
      <c r="C761" s="96"/>
      <c r="F761" s="96"/>
    </row>
    <row r="762" ht="12.75" customHeight="1">
      <c r="C762" s="96"/>
      <c r="F762" s="96"/>
    </row>
    <row r="763" ht="12.75" customHeight="1">
      <c r="C763" s="96"/>
      <c r="F763" s="96"/>
    </row>
    <row r="764" ht="12.75" customHeight="1">
      <c r="C764" s="96"/>
      <c r="F764" s="96"/>
    </row>
    <row r="765" ht="12.75" customHeight="1">
      <c r="C765" s="96"/>
      <c r="F765" s="96"/>
    </row>
    <row r="766" ht="12.75" customHeight="1">
      <c r="C766" s="96"/>
      <c r="F766" s="96"/>
    </row>
    <row r="767" ht="12.75" customHeight="1">
      <c r="C767" s="96"/>
      <c r="F767" s="96"/>
    </row>
    <row r="768" ht="12.75" customHeight="1">
      <c r="C768" s="96"/>
      <c r="F768" s="96"/>
    </row>
    <row r="769" ht="12.75" customHeight="1">
      <c r="C769" s="96"/>
      <c r="F769" s="96"/>
    </row>
    <row r="770" ht="12.75" customHeight="1">
      <c r="C770" s="96"/>
      <c r="F770" s="96"/>
    </row>
    <row r="771" ht="12.75" customHeight="1">
      <c r="C771" s="96"/>
      <c r="F771" s="96"/>
    </row>
    <row r="772" ht="12.75" customHeight="1">
      <c r="C772" s="96"/>
      <c r="F772" s="96"/>
    </row>
    <row r="773" ht="12.75" customHeight="1">
      <c r="C773" s="96"/>
      <c r="F773" s="96"/>
    </row>
    <row r="774" ht="12.75" customHeight="1">
      <c r="C774" s="96"/>
      <c r="F774" s="96"/>
    </row>
    <row r="775" ht="12.75" customHeight="1">
      <c r="C775" s="96"/>
      <c r="F775" s="96"/>
    </row>
    <row r="776" ht="12.75" customHeight="1">
      <c r="C776" s="96"/>
      <c r="F776" s="96"/>
    </row>
    <row r="777" ht="12.75" customHeight="1">
      <c r="C777" s="96"/>
      <c r="F777" s="96"/>
    </row>
    <row r="778" ht="12.75" customHeight="1">
      <c r="C778" s="96"/>
      <c r="F778" s="96"/>
    </row>
    <row r="779" ht="12.75" customHeight="1">
      <c r="C779" s="96"/>
      <c r="F779" s="96"/>
    </row>
    <row r="780" ht="12.75" customHeight="1">
      <c r="C780" s="96"/>
      <c r="F780" s="96"/>
    </row>
    <row r="781" ht="12.75" customHeight="1">
      <c r="C781" s="96"/>
      <c r="F781" s="96"/>
    </row>
    <row r="782" ht="12.75" customHeight="1">
      <c r="C782" s="96"/>
      <c r="F782" s="96"/>
    </row>
    <row r="783" ht="12.75" customHeight="1">
      <c r="C783" s="96"/>
      <c r="F783" s="96"/>
    </row>
    <row r="784" ht="12.75" customHeight="1">
      <c r="C784" s="96"/>
      <c r="F784" s="96"/>
    </row>
    <row r="785" ht="12.75" customHeight="1">
      <c r="C785" s="96"/>
      <c r="F785" s="96"/>
    </row>
    <row r="786" ht="12.75" customHeight="1">
      <c r="C786" s="96"/>
      <c r="F786" s="96"/>
    </row>
    <row r="787" ht="12.75" customHeight="1">
      <c r="C787" s="96"/>
      <c r="F787" s="96"/>
    </row>
    <row r="788" ht="12.75" customHeight="1">
      <c r="C788" s="96"/>
      <c r="F788" s="96"/>
    </row>
    <row r="789" ht="12.75" customHeight="1">
      <c r="C789" s="96"/>
      <c r="F789" s="96"/>
    </row>
    <row r="790" ht="12.75" customHeight="1">
      <c r="C790" s="96"/>
      <c r="F790" s="96"/>
    </row>
    <row r="791" ht="12.75" customHeight="1">
      <c r="C791" s="96"/>
      <c r="F791" s="96"/>
    </row>
    <row r="792" ht="12.75" customHeight="1">
      <c r="C792" s="96"/>
      <c r="F792" s="96"/>
    </row>
    <row r="793" ht="12.75" customHeight="1">
      <c r="C793" s="96"/>
      <c r="F793" s="96"/>
    </row>
    <row r="794" ht="12.75" customHeight="1">
      <c r="C794" s="96"/>
      <c r="F794" s="96"/>
    </row>
    <row r="795" ht="12.75" customHeight="1">
      <c r="C795" s="96"/>
      <c r="F795" s="96"/>
    </row>
    <row r="796" ht="12.75" customHeight="1">
      <c r="C796" s="96"/>
      <c r="F796" s="96"/>
    </row>
    <row r="797" ht="12.75" customHeight="1">
      <c r="C797" s="96"/>
      <c r="F797" s="96"/>
    </row>
    <row r="798" ht="12.75" customHeight="1">
      <c r="C798" s="96"/>
      <c r="F798" s="96"/>
    </row>
    <row r="799" ht="12.75" customHeight="1">
      <c r="C799" s="96"/>
      <c r="F799" s="96"/>
    </row>
    <row r="800" ht="12.75" customHeight="1">
      <c r="C800" s="96"/>
      <c r="F800" s="96"/>
    </row>
    <row r="801" ht="12.75" customHeight="1">
      <c r="C801" s="96"/>
      <c r="F801" s="96"/>
    </row>
    <row r="802" ht="12.75" customHeight="1">
      <c r="C802" s="96"/>
      <c r="F802" s="96"/>
    </row>
    <row r="803" ht="12.75" customHeight="1">
      <c r="C803" s="96"/>
      <c r="F803" s="96"/>
    </row>
    <row r="804" ht="12.75" customHeight="1">
      <c r="C804" s="96"/>
      <c r="F804" s="96"/>
    </row>
    <row r="805" ht="12.75" customHeight="1">
      <c r="C805" s="96"/>
      <c r="F805" s="96"/>
    </row>
    <row r="806" ht="12.75" customHeight="1">
      <c r="C806" s="96"/>
      <c r="F806" s="96"/>
    </row>
    <row r="807" ht="12.75" customHeight="1">
      <c r="C807" s="96"/>
      <c r="F807" s="96"/>
    </row>
    <row r="808" ht="12.75" customHeight="1">
      <c r="C808" s="96"/>
      <c r="F808" s="96"/>
    </row>
    <row r="809" ht="12.75" customHeight="1">
      <c r="C809" s="96"/>
      <c r="F809" s="96"/>
    </row>
    <row r="810" ht="12.75" customHeight="1">
      <c r="C810" s="96"/>
      <c r="F810" s="96"/>
    </row>
    <row r="811" ht="12.75" customHeight="1">
      <c r="C811" s="96"/>
      <c r="F811" s="96"/>
    </row>
    <row r="812" ht="12.75" customHeight="1">
      <c r="C812" s="96"/>
      <c r="F812" s="96"/>
    </row>
    <row r="813" ht="12.75" customHeight="1">
      <c r="C813" s="96"/>
      <c r="F813" s="96"/>
    </row>
    <row r="814" ht="12.75" customHeight="1">
      <c r="C814" s="96"/>
      <c r="F814" s="96"/>
    </row>
    <row r="815" ht="12.75" customHeight="1">
      <c r="C815" s="96"/>
      <c r="F815" s="96"/>
    </row>
    <row r="816" ht="12.75" customHeight="1">
      <c r="C816" s="96"/>
      <c r="F816" s="96"/>
    </row>
    <row r="817" ht="12.75" customHeight="1">
      <c r="C817" s="96"/>
      <c r="F817" s="96"/>
    </row>
    <row r="818" ht="12.75" customHeight="1">
      <c r="C818" s="96"/>
      <c r="F818" s="96"/>
    </row>
    <row r="819" ht="12.75" customHeight="1">
      <c r="C819" s="96"/>
      <c r="F819" s="96"/>
    </row>
    <row r="820" ht="12.75" customHeight="1">
      <c r="C820" s="96"/>
      <c r="F820" s="96"/>
    </row>
    <row r="821" ht="12.75" customHeight="1">
      <c r="C821" s="96"/>
      <c r="F821" s="96"/>
    </row>
    <row r="822" ht="12.75" customHeight="1">
      <c r="C822" s="96"/>
      <c r="F822" s="96"/>
    </row>
    <row r="823" ht="12.75" customHeight="1">
      <c r="C823" s="96"/>
      <c r="F823" s="96"/>
    </row>
    <row r="824" ht="12.75" customHeight="1">
      <c r="C824" s="96"/>
      <c r="F824" s="96"/>
    </row>
    <row r="825" ht="12.75" customHeight="1">
      <c r="C825" s="96"/>
      <c r="F825" s="96"/>
    </row>
    <row r="826" ht="12.75" customHeight="1">
      <c r="C826" s="96"/>
      <c r="F826" s="96"/>
    </row>
    <row r="827" ht="12.75" customHeight="1">
      <c r="C827" s="96"/>
      <c r="F827" s="96"/>
    </row>
    <row r="828" ht="12.75" customHeight="1">
      <c r="C828" s="96"/>
      <c r="F828" s="96"/>
    </row>
    <row r="829" ht="12.75" customHeight="1">
      <c r="C829" s="96"/>
      <c r="F829" s="96"/>
    </row>
    <row r="830" ht="12.75" customHeight="1">
      <c r="C830" s="96"/>
      <c r="F830" s="96"/>
    </row>
    <row r="831" ht="12.75" customHeight="1">
      <c r="C831" s="96"/>
      <c r="F831" s="96"/>
    </row>
    <row r="832" ht="12.75" customHeight="1">
      <c r="C832" s="96"/>
      <c r="F832" s="96"/>
    </row>
    <row r="833" ht="12.75" customHeight="1">
      <c r="C833" s="96"/>
      <c r="F833" s="96"/>
    </row>
    <row r="834" ht="12.75" customHeight="1">
      <c r="C834" s="96"/>
      <c r="F834" s="96"/>
    </row>
    <row r="835" ht="12.75" customHeight="1">
      <c r="C835" s="96"/>
      <c r="F835" s="96"/>
    </row>
    <row r="836" ht="12.75" customHeight="1">
      <c r="C836" s="96"/>
      <c r="F836" s="96"/>
    </row>
    <row r="837" ht="12.75" customHeight="1">
      <c r="C837" s="96"/>
      <c r="F837" s="96"/>
    </row>
    <row r="838" ht="12.75" customHeight="1">
      <c r="C838" s="96"/>
      <c r="F838" s="96"/>
    </row>
    <row r="839" ht="12.75" customHeight="1">
      <c r="C839" s="96"/>
      <c r="F839" s="96"/>
    </row>
    <row r="840" ht="12.75" customHeight="1">
      <c r="C840" s="96"/>
      <c r="F840" s="96"/>
    </row>
    <row r="841" ht="12.75" customHeight="1">
      <c r="C841" s="96"/>
      <c r="F841" s="96"/>
    </row>
    <row r="842" ht="12.75" customHeight="1">
      <c r="C842" s="96"/>
      <c r="F842" s="96"/>
    </row>
    <row r="843" ht="12.75" customHeight="1">
      <c r="C843" s="96"/>
      <c r="F843" s="96"/>
    </row>
    <row r="844" ht="12.75" customHeight="1">
      <c r="C844" s="96"/>
      <c r="F844" s="96"/>
    </row>
    <row r="845" ht="12.75" customHeight="1">
      <c r="C845" s="96"/>
      <c r="F845" s="96"/>
    </row>
    <row r="846" ht="12.75" customHeight="1">
      <c r="C846" s="96"/>
      <c r="F846" s="96"/>
    </row>
    <row r="847" ht="12.75" customHeight="1">
      <c r="C847" s="96"/>
      <c r="F847" s="96"/>
    </row>
    <row r="848" ht="12.75" customHeight="1">
      <c r="C848" s="96"/>
      <c r="F848" s="96"/>
    </row>
    <row r="849" ht="12.75" customHeight="1">
      <c r="C849" s="96"/>
      <c r="F849" s="96"/>
    </row>
    <row r="850" ht="12.75" customHeight="1">
      <c r="C850" s="96"/>
      <c r="F850" s="96"/>
    </row>
    <row r="851" ht="12.75" customHeight="1">
      <c r="C851" s="96"/>
      <c r="F851" s="96"/>
    </row>
    <row r="852" ht="12.75" customHeight="1">
      <c r="C852" s="96"/>
      <c r="F852" s="96"/>
    </row>
    <row r="853" ht="12.75" customHeight="1">
      <c r="C853" s="96"/>
      <c r="F853" s="96"/>
    </row>
    <row r="854" ht="12.75" customHeight="1">
      <c r="C854" s="96"/>
      <c r="F854" s="96"/>
    </row>
    <row r="855" ht="12.75" customHeight="1">
      <c r="C855" s="96"/>
      <c r="F855" s="96"/>
    </row>
    <row r="856" ht="12.75" customHeight="1">
      <c r="C856" s="96"/>
      <c r="F856" s="96"/>
    </row>
    <row r="857" ht="12.75" customHeight="1">
      <c r="C857" s="96"/>
      <c r="F857" s="96"/>
    </row>
    <row r="858" ht="12.75" customHeight="1">
      <c r="C858" s="96"/>
      <c r="F858" s="96"/>
    </row>
    <row r="859" ht="12.75" customHeight="1">
      <c r="C859" s="96"/>
      <c r="F859" s="96"/>
    </row>
    <row r="860" ht="12.75" customHeight="1">
      <c r="C860" s="96"/>
      <c r="F860" s="96"/>
    </row>
    <row r="861" ht="12.75" customHeight="1">
      <c r="C861" s="96"/>
      <c r="F861" s="96"/>
    </row>
    <row r="862" ht="12.75" customHeight="1">
      <c r="C862" s="96"/>
      <c r="F862" s="96"/>
    </row>
    <row r="863" ht="12.75" customHeight="1">
      <c r="C863" s="96"/>
      <c r="F863" s="96"/>
    </row>
    <row r="864" ht="12.75" customHeight="1">
      <c r="C864" s="96"/>
      <c r="F864" s="96"/>
    </row>
    <row r="865" ht="12.75" customHeight="1">
      <c r="C865" s="96"/>
      <c r="F865" s="96"/>
    </row>
    <row r="866" ht="12.75" customHeight="1">
      <c r="C866" s="96"/>
      <c r="F866" s="96"/>
    </row>
    <row r="867" ht="12.75" customHeight="1">
      <c r="C867" s="96"/>
      <c r="F867" s="96"/>
    </row>
    <row r="868" ht="12.75" customHeight="1">
      <c r="C868" s="96"/>
      <c r="F868" s="96"/>
    </row>
    <row r="869" ht="12.75" customHeight="1">
      <c r="C869" s="96"/>
      <c r="F869" s="96"/>
    </row>
    <row r="870" ht="12.75" customHeight="1">
      <c r="C870" s="96"/>
      <c r="F870" s="96"/>
    </row>
    <row r="871" ht="12.75" customHeight="1">
      <c r="C871" s="96"/>
      <c r="F871" s="96"/>
    </row>
    <row r="872" ht="12.75" customHeight="1">
      <c r="C872" s="96"/>
      <c r="F872" s="96"/>
    </row>
    <row r="873" ht="12.75" customHeight="1">
      <c r="C873" s="96"/>
      <c r="F873" s="96"/>
    </row>
    <row r="874" ht="12.75" customHeight="1">
      <c r="C874" s="96"/>
      <c r="F874" s="96"/>
    </row>
    <row r="875" ht="12.75" customHeight="1">
      <c r="C875" s="96"/>
      <c r="F875" s="96"/>
    </row>
    <row r="876" ht="12.75" customHeight="1">
      <c r="C876" s="96"/>
      <c r="F876" s="96"/>
    </row>
    <row r="877" ht="12.75" customHeight="1">
      <c r="C877" s="96"/>
      <c r="F877" s="96"/>
    </row>
    <row r="878" ht="12.75" customHeight="1">
      <c r="C878" s="96"/>
      <c r="F878" s="96"/>
    </row>
    <row r="879" ht="12.75" customHeight="1">
      <c r="C879" s="96"/>
      <c r="F879" s="96"/>
    </row>
    <row r="880" ht="12.75" customHeight="1">
      <c r="C880" s="96"/>
      <c r="F880" s="96"/>
    </row>
    <row r="881" ht="12.75" customHeight="1">
      <c r="C881" s="96"/>
      <c r="F881" s="96"/>
    </row>
    <row r="882" ht="12.75" customHeight="1">
      <c r="C882" s="96"/>
      <c r="F882" s="96"/>
    </row>
    <row r="883" ht="12.75" customHeight="1">
      <c r="C883" s="96"/>
      <c r="F883" s="96"/>
    </row>
    <row r="884" ht="12.75" customHeight="1">
      <c r="C884" s="96"/>
      <c r="F884" s="96"/>
    </row>
    <row r="885" ht="12.75" customHeight="1">
      <c r="C885" s="96"/>
      <c r="F885" s="96"/>
    </row>
    <row r="886" ht="12.75" customHeight="1">
      <c r="C886" s="96"/>
      <c r="F886" s="96"/>
    </row>
    <row r="887" ht="12.75" customHeight="1">
      <c r="C887" s="96"/>
      <c r="F887" s="96"/>
    </row>
    <row r="888" ht="12.75" customHeight="1">
      <c r="C888" s="96"/>
      <c r="F888" s="96"/>
    </row>
    <row r="889" ht="12.75" customHeight="1">
      <c r="C889" s="96"/>
      <c r="F889" s="96"/>
    </row>
    <row r="890" ht="12.75" customHeight="1">
      <c r="C890" s="96"/>
      <c r="F890" s="96"/>
    </row>
    <row r="891" ht="12.75" customHeight="1">
      <c r="C891" s="96"/>
      <c r="F891" s="96"/>
    </row>
    <row r="892" ht="12.75" customHeight="1">
      <c r="C892" s="96"/>
      <c r="F892" s="96"/>
    </row>
    <row r="893" ht="12.75" customHeight="1">
      <c r="C893" s="96"/>
      <c r="F893" s="96"/>
    </row>
    <row r="894" ht="12.75" customHeight="1">
      <c r="C894" s="96"/>
      <c r="F894" s="96"/>
    </row>
    <row r="895" ht="12.75" customHeight="1">
      <c r="C895" s="96"/>
      <c r="F895" s="96"/>
    </row>
    <row r="896" ht="12.75" customHeight="1">
      <c r="C896" s="96"/>
      <c r="F896" s="96"/>
    </row>
    <row r="897" ht="12.75" customHeight="1">
      <c r="C897" s="96"/>
      <c r="F897" s="96"/>
    </row>
    <row r="898" ht="12.75" customHeight="1">
      <c r="C898" s="96"/>
      <c r="F898" s="96"/>
    </row>
    <row r="899" ht="12.75" customHeight="1">
      <c r="C899" s="96"/>
      <c r="F899" s="96"/>
    </row>
    <row r="900" ht="12.75" customHeight="1">
      <c r="C900" s="96"/>
      <c r="F900" s="96"/>
    </row>
    <row r="901" ht="12.75" customHeight="1">
      <c r="C901" s="96"/>
      <c r="F901" s="96"/>
    </row>
    <row r="902" ht="12.75" customHeight="1">
      <c r="C902" s="96"/>
      <c r="F902" s="96"/>
    </row>
    <row r="903" ht="12.75" customHeight="1">
      <c r="C903" s="96"/>
      <c r="F903" s="96"/>
    </row>
    <row r="904" ht="12.75" customHeight="1">
      <c r="C904" s="96"/>
      <c r="F904" s="96"/>
    </row>
    <row r="905" ht="12.75" customHeight="1">
      <c r="C905" s="96"/>
      <c r="F905" s="96"/>
    </row>
    <row r="906" ht="12.75" customHeight="1">
      <c r="C906" s="96"/>
      <c r="F906" s="96"/>
    </row>
    <row r="907" ht="12.75" customHeight="1">
      <c r="C907" s="96"/>
      <c r="F907" s="96"/>
    </row>
    <row r="908" ht="12.75" customHeight="1">
      <c r="C908" s="96"/>
      <c r="F908" s="96"/>
    </row>
    <row r="909" ht="12.75" customHeight="1">
      <c r="C909" s="96"/>
      <c r="F909" s="96"/>
    </row>
    <row r="910" ht="12.75" customHeight="1">
      <c r="C910" s="96"/>
      <c r="F910" s="96"/>
    </row>
    <row r="911" ht="12.75" customHeight="1">
      <c r="C911" s="96"/>
      <c r="F911" s="96"/>
    </row>
    <row r="912" ht="12.75" customHeight="1">
      <c r="C912" s="96"/>
      <c r="F912" s="96"/>
    </row>
    <row r="913" ht="12.75" customHeight="1">
      <c r="C913" s="96"/>
      <c r="F913" s="96"/>
    </row>
    <row r="914" ht="12.75" customHeight="1">
      <c r="C914" s="96"/>
      <c r="F914" s="96"/>
    </row>
    <row r="915" ht="12.75" customHeight="1">
      <c r="C915" s="96"/>
      <c r="F915" s="96"/>
    </row>
    <row r="916" ht="12.75" customHeight="1">
      <c r="C916" s="96"/>
      <c r="F916" s="96"/>
    </row>
    <row r="917" ht="12.75" customHeight="1">
      <c r="C917" s="96"/>
      <c r="F917" s="96"/>
    </row>
    <row r="918" ht="12.75" customHeight="1">
      <c r="C918" s="96"/>
      <c r="F918" s="96"/>
    </row>
    <row r="919" ht="12.75" customHeight="1">
      <c r="C919" s="96"/>
      <c r="F919" s="96"/>
    </row>
    <row r="920" ht="12.75" customHeight="1">
      <c r="C920" s="96"/>
      <c r="F920" s="96"/>
    </row>
    <row r="921" ht="12.75" customHeight="1">
      <c r="C921" s="96"/>
      <c r="F921" s="96"/>
    </row>
    <row r="922" ht="12.75" customHeight="1">
      <c r="C922" s="96"/>
      <c r="F922" s="96"/>
    </row>
    <row r="923" ht="12.75" customHeight="1">
      <c r="C923" s="96"/>
      <c r="F923" s="96"/>
    </row>
    <row r="924" ht="12.75" customHeight="1">
      <c r="C924" s="96"/>
      <c r="F924" s="96"/>
    </row>
    <row r="925" ht="12.75" customHeight="1">
      <c r="C925" s="96"/>
      <c r="F925" s="96"/>
    </row>
    <row r="926" ht="12.75" customHeight="1">
      <c r="C926" s="96"/>
      <c r="F926" s="96"/>
    </row>
    <row r="927" ht="12.75" customHeight="1">
      <c r="C927" s="96"/>
      <c r="F927" s="96"/>
    </row>
    <row r="928" ht="12.75" customHeight="1">
      <c r="C928" s="96"/>
      <c r="F928" s="96"/>
    </row>
    <row r="929" ht="12.75" customHeight="1">
      <c r="C929" s="96"/>
      <c r="F929" s="96"/>
    </row>
    <row r="930" ht="12.75" customHeight="1">
      <c r="C930" s="96"/>
      <c r="F930" s="96"/>
    </row>
    <row r="931" ht="12.75" customHeight="1">
      <c r="C931" s="96"/>
      <c r="F931" s="96"/>
    </row>
    <row r="932" ht="12.75" customHeight="1">
      <c r="C932" s="96"/>
      <c r="F932" s="96"/>
    </row>
    <row r="933" ht="12.75" customHeight="1">
      <c r="C933" s="96"/>
      <c r="F933" s="96"/>
    </row>
    <row r="934" ht="12.75" customHeight="1">
      <c r="C934" s="96"/>
      <c r="F934" s="96"/>
    </row>
    <row r="935" ht="12.75" customHeight="1">
      <c r="C935" s="96"/>
      <c r="F935" s="96"/>
    </row>
    <row r="936" ht="12.75" customHeight="1">
      <c r="C936" s="96"/>
      <c r="F936" s="96"/>
    </row>
    <row r="937" ht="12.75" customHeight="1">
      <c r="C937" s="96"/>
      <c r="F937" s="96"/>
    </row>
    <row r="938" ht="12.75" customHeight="1">
      <c r="C938" s="96"/>
      <c r="F938" s="96"/>
    </row>
    <row r="939" ht="12.75" customHeight="1">
      <c r="C939" s="96"/>
      <c r="F939" s="96"/>
    </row>
    <row r="940" ht="12.75" customHeight="1">
      <c r="C940" s="96"/>
      <c r="F940" s="96"/>
    </row>
    <row r="941" ht="12.75" customHeight="1">
      <c r="C941" s="96"/>
      <c r="F941" s="96"/>
    </row>
    <row r="942" ht="12.75" customHeight="1">
      <c r="C942" s="96"/>
      <c r="F942" s="96"/>
    </row>
    <row r="943" ht="12.75" customHeight="1">
      <c r="C943" s="96"/>
      <c r="F943" s="96"/>
    </row>
    <row r="944" ht="12.75" customHeight="1">
      <c r="C944" s="96"/>
      <c r="F944" s="96"/>
    </row>
    <row r="945" ht="12.75" customHeight="1">
      <c r="C945" s="96"/>
      <c r="F945" s="96"/>
    </row>
    <row r="946" ht="12.75" customHeight="1">
      <c r="C946" s="96"/>
      <c r="F946" s="96"/>
    </row>
    <row r="947" ht="12.75" customHeight="1">
      <c r="C947" s="96"/>
      <c r="F947" s="96"/>
    </row>
    <row r="948" ht="12.75" customHeight="1">
      <c r="C948" s="96"/>
      <c r="F948" s="96"/>
    </row>
    <row r="949" ht="12.75" customHeight="1">
      <c r="C949" s="96"/>
      <c r="F949" s="96"/>
    </row>
    <row r="950" ht="12.75" customHeight="1">
      <c r="C950" s="96"/>
      <c r="F950" s="96"/>
    </row>
    <row r="951" ht="12.75" customHeight="1">
      <c r="C951" s="96"/>
      <c r="F951" s="96"/>
    </row>
    <row r="952" ht="12.75" customHeight="1">
      <c r="C952" s="96"/>
      <c r="F952" s="96"/>
    </row>
    <row r="953" ht="12.75" customHeight="1">
      <c r="C953" s="96"/>
      <c r="F953" s="96"/>
    </row>
    <row r="954" ht="12.75" customHeight="1">
      <c r="C954" s="96"/>
      <c r="F954" s="96"/>
    </row>
    <row r="955" ht="12.75" customHeight="1">
      <c r="C955" s="96"/>
      <c r="F955" s="96"/>
    </row>
    <row r="956" ht="12.75" customHeight="1">
      <c r="C956" s="96"/>
      <c r="F956" s="96"/>
    </row>
    <row r="957" ht="12.75" customHeight="1">
      <c r="C957" s="96"/>
      <c r="F957" s="96"/>
    </row>
    <row r="958" ht="12.75" customHeight="1">
      <c r="C958" s="96"/>
      <c r="F958" s="96"/>
    </row>
    <row r="959" ht="12.75" customHeight="1">
      <c r="C959" s="96"/>
      <c r="F959" s="96"/>
    </row>
    <row r="960" ht="12.75" customHeight="1">
      <c r="C960" s="96"/>
      <c r="F960" s="96"/>
    </row>
    <row r="961" ht="12.75" customHeight="1">
      <c r="C961" s="96"/>
      <c r="F961" s="96"/>
    </row>
    <row r="962" ht="12.75" customHeight="1">
      <c r="C962" s="96"/>
      <c r="F962" s="96"/>
    </row>
    <row r="963" ht="12.75" customHeight="1">
      <c r="C963" s="96"/>
      <c r="F963" s="96"/>
    </row>
    <row r="964" ht="12.75" customHeight="1">
      <c r="C964" s="96"/>
      <c r="F964" s="96"/>
    </row>
    <row r="965" ht="12.75" customHeight="1">
      <c r="C965" s="96"/>
      <c r="F965" s="96"/>
    </row>
    <row r="966" ht="12.75" customHeight="1">
      <c r="C966" s="96"/>
      <c r="F966" s="96"/>
    </row>
    <row r="967" ht="12.75" customHeight="1">
      <c r="C967" s="96"/>
      <c r="F967" s="96"/>
    </row>
    <row r="968" ht="12.75" customHeight="1">
      <c r="C968" s="96"/>
      <c r="F968" s="96"/>
    </row>
    <row r="969" ht="12.75" customHeight="1">
      <c r="C969" s="96"/>
      <c r="F969" s="96"/>
    </row>
    <row r="970" ht="12.75" customHeight="1">
      <c r="C970" s="96"/>
      <c r="F970" s="96"/>
    </row>
    <row r="971" ht="12.75" customHeight="1">
      <c r="C971" s="96"/>
      <c r="F971" s="96"/>
    </row>
    <row r="972" ht="12.75" customHeight="1">
      <c r="C972" s="96"/>
      <c r="F972" s="96"/>
    </row>
    <row r="973" ht="12.75" customHeight="1">
      <c r="C973" s="96"/>
      <c r="F973" s="96"/>
    </row>
    <row r="974" ht="12.75" customHeight="1">
      <c r="C974" s="96"/>
      <c r="F974" s="96"/>
    </row>
    <row r="975" ht="12.75" customHeight="1">
      <c r="C975" s="96"/>
      <c r="F975" s="96"/>
    </row>
    <row r="976" ht="12.75" customHeight="1">
      <c r="C976" s="96"/>
      <c r="F976" s="96"/>
    </row>
    <row r="977" ht="12.75" customHeight="1">
      <c r="C977" s="96"/>
      <c r="F977" s="96"/>
    </row>
    <row r="978" ht="12.75" customHeight="1">
      <c r="C978" s="96"/>
      <c r="F978" s="96"/>
    </row>
    <row r="979" ht="12.75" customHeight="1">
      <c r="C979" s="96"/>
      <c r="F979" s="96"/>
    </row>
    <row r="980" ht="12.75" customHeight="1">
      <c r="C980" s="96"/>
      <c r="F980" s="96"/>
    </row>
    <row r="981" ht="12.75" customHeight="1">
      <c r="C981" s="96"/>
      <c r="F981" s="96"/>
    </row>
    <row r="982" ht="12.75" customHeight="1">
      <c r="C982" s="96"/>
      <c r="F982" s="96"/>
    </row>
    <row r="983" ht="12.75" customHeight="1">
      <c r="C983" s="96"/>
      <c r="F983" s="96"/>
    </row>
    <row r="984" ht="12.75" customHeight="1">
      <c r="C984" s="96"/>
      <c r="F984" s="96"/>
    </row>
    <row r="985" ht="12.75" customHeight="1">
      <c r="C985" s="96"/>
      <c r="F985" s="96"/>
    </row>
    <row r="986" ht="12.75" customHeight="1">
      <c r="C986" s="96"/>
      <c r="F986" s="96"/>
    </row>
    <row r="987" ht="12.75" customHeight="1">
      <c r="C987" s="96"/>
      <c r="F987" s="96"/>
    </row>
    <row r="988" ht="12.75" customHeight="1">
      <c r="C988" s="96"/>
      <c r="F988" s="96"/>
    </row>
    <row r="989" ht="12.75" customHeight="1">
      <c r="C989" s="96"/>
      <c r="F989" s="96"/>
    </row>
    <row r="990" ht="12.75" customHeight="1">
      <c r="C990" s="96"/>
      <c r="F990" s="96"/>
    </row>
    <row r="991" ht="12.75" customHeight="1">
      <c r="C991" s="96"/>
      <c r="F991" s="96"/>
    </row>
    <row r="992" ht="12.75" customHeight="1">
      <c r="C992" s="96"/>
      <c r="F992" s="96"/>
    </row>
    <row r="993" ht="12.75" customHeight="1">
      <c r="C993" s="96"/>
      <c r="F993" s="96"/>
    </row>
    <row r="994" ht="12.75" customHeight="1">
      <c r="C994" s="96"/>
      <c r="F994" s="96"/>
    </row>
    <row r="995" ht="12.75" customHeight="1">
      <c r="C995" s="96"/>
      <c r="F995" s="96"/>
    </row>
    <row r="996" ht="12.75" customHeight="1">
      <c r="C996" s="96"/>
      <c r="F996" s="96"/>
    </row>
    <row r="997" ht="12.75" customHeight="1">
      <c r="C997" s="96"/>
      <c r="F997" s="96"/>
    </row>
    <row r="998" ht="12.75" customHeight="1">
      <c r="C998" s="96"/>
      <c r="F998" s="96"/>
    </row>
    <row r="999" ht="12.75" customHeight="1">
      <c r="C999" s="96"/>
      <c r="F999" s="96"/>
    </row>
    <row r="1000" ht="12.75" customHeight="1">
      <c r="C1000" s="96"/>
      <c r="F1000" s="9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81.25"/>
    <col customWidth="1" min="7" max="26" width="7.63"/>
  </cols>
  <sheetData>
    <row r="1" ht="14.25" customHeight="1">
      <c r="A1" s="95" t="s">
        <v>796</v>
      </c>
      <c r="F1" s="96"/>
    </row>
    <row r="2" ht="14.25" customHeight="1">
      <c r="A2" s="95" t="s">
        <v>1261</v>
      </c>
      <c r="F2" s="96"/>
    </row>
    <row r="3" ht="14.25" customHeight="1">
      <c r="A3" s="95" t="s">
        <v>33</v>
      </c>
      <c r="B3" s="95" t="s">
        <v>38</v>
      </c>
      <c r="C3" s="95" t="s">
        <v>42</v>
      </c>
      <c r="D3" s="95" t="s">
        <v>48</v>
      </c>
      <c r="F3" s="96"/>
    </row>
    <row r="4" ht="12.75" customHeight="1">
      <c r="A4" s="113">
        <v>4.0</v>
      </c>
      <c r="B4" s="113">
        <v>2.0</v>
      </c>
      <c r="C4" s="113">
        <v>2.0</v>
      </c>
      <c r="D4" s="113">
        <v>4.0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1.0</v>
      </c>
      <c r="C8" s="114">
        <v>1.0</v>
      </c>
      <c r="D8" s="114">
        <v>2.0</v>
      </c>
      <c r="E8" s="114">
        <v>2.0</v>
      </c>
      <c r="F8" s="114">
        <v>3.0</v>
      </c>
      <c r="G8" s="114">
        <v>4.0</v>
      </c>
      <c r="H8" s="114">
        <v>5.0</v>
      </c>
      <c r="I8" s="114">
        <v>6.0</v>
      </c>
      <c r="J8" s="114">
        <v>7.0</v>
      </c>
      <c r="K8" s="96">
        <v>8.0</v>
      </c>
    </row>
    <row r="9" ht="12.75" customHeight="1">
      <c r="A9" s="106" t="s">
        <v>17</v>
      </c>
      <c r="B9" s="114">
        <v>1.0</v>
      </c>
      <c r="C9" s="114">
        <v>1.0</v>
      </c>
      <c r="D9" s="114">
        <v>2.0</v>
      </c>
      <c r="E9" s="114">
        <v>2.0</v>
      </c>
      <c r="F9" s="114">
        <v>3.0</v>
      </c>
      <c r="G9" s="114">
        <v>4.0</v>
      </c>
      <c r="H9" s="114">
        <v>5.0</v>
      </c>
      <c r="I9" s="114">
        <v>6.0</v>
      </c>
      <c r="J9" s="114">
        <v>7.0</v>
      </c>
      <c r="K9" s="96">
        <v>8.0</v>
      </c>
    </row>
    <row r="10" ht="12.75" customHeight="1">
      <c r="A10" s="106" t="s">
        <v>22</v>
      </c>
      <c r="B10" s="114">
        <v>1.0</v>
      </c>
      <c r="C10" s="114">
        <v>1.0</v>
      </c>
      <c r="D10" s="114">
        <v>2.0</v>
      </c>
      <c r="E10" s="114">
        <v>2.0</v>
      </c>
      <c r="F10" s="114">
        <v>3.0</v>
      </c>
      <c r="G10" s="114">
        <v>4.0</v>
      </c>
      <c r="H10" s="114">
        <v>5.0</v>
      </c>
      <c r="I10" s="114">
        <v>6.0</v>
      </c>
      <c r="J10" s="114">
        <v>7.0</v>
      </c>
      <c r="K10" s="96">
        <v>8.0</v>
      </c>
    </row>
    <row r="11" ht="12.75" customHeight="1">
      <c r="A11" s="106" t="s">
        <v>27</v>
      </c>
      <c r="B11" s="114">
        <v>1.0</v>
      </c>
      <c r="C11" s="114">
        <v>1.0</v>
      </c>
      <c r="D11" s="114">
        <v>2.0</v>
      </c>
      <c r="E11" s="114">
        <v>2.0</v>
      </c>
      <c r="F11" s="114">
        <v>2.0</v>
      </c>
      <c r="G11" s="114">
        <v>3.0</v>
      </c>
      <c r="H11" s="114">
        <v>4.0</v>
      </c>
      <c r="I11" s="114">
        <v>5.0</v>
      </c>
      <c r="J11" s="114">
        <v>6.0</v>
      </c>
      <c r="K11" s="96">
        <v>7.0</v>
      </c>
    </row>
    <row r="12" ht="12.75" customHeight="1">
      <c r="A12" s="106" t="s">
        <v>31</v>
      </c>
      <c r="B12" s="114">
        <v>3.0</v>
      </c>
      <c r="C12" s="114">
        <v>5.0</v>
      </c>
      <c r="D12" s="114">
        <v>8.0</v>
      </c>
      <c r="E12" s="114">
        <v>10.0</v>
      </c>
      <c r="F12" s="114">
        <v>11.0</v>
      </c>
      <c r="G12" s="114">
        <v>13.0</v>
      </c>
      <c r="H12" s="114">
        <v>15.0</v>
      </c>
      <c r="I12" s="114">
        <v>18.0</v>
      </c>
      <c r="J12" s="114">
        <v>21.0</v>
      </c>
      <c r="K12" s="96">
        <v>24.0</v>
      </c>
    </row>
    <row r="13" ht="12.75" customHeight="1">
      <c r="A13" s="106" t="s">
        <v>35</v>
      </c>
      <c r="B13" s="114">
        <v>3.0</v>
      </c>
      <c r="C13" s="114">
        <v>5.0</v>
      </c>
      <c r="D13" s="114">
        <v>8.0</v>
      </c>
      <c r="E13" s="114">
        <v>10.0</v>
      </c>
      <c r="F13" s="114">
        <v>11.0</v>
      </c>
      <c r="G13" s="114">
        <v>13.0</v>
      </c>
      <c r="H13" s="114">
        <v>15.0</v>
      </c>
      <c r="I13" s="114">
        <v>18.0</v>
      </c>
      <c r="J13" s="114">
        <v>21.0</v>
      </c>
      <c r="K13" s="96">
        <v>24.0</v>
      </c>
    </row>
    <row r="14" ht="12.75" customHeight="1">
      <c r="A14" s="106" t="s">
        <v>40</v>
      </c>
      <c r="B14" s="114">
        <v>0.0</v>
      </c>
      <c r="C14" s="114">
        <v>1.0</v>
      </c>
      <c r="D14" s="114">
        <v>1.0</v>
      </c>
      <c r="E14" s="114">
        <v>1.0</v>
      </c>
      <c r="F14" s="114">
        <v>2.0</v>
      </c>
      <c r="G14" s="114">
        <v>2.0</v>
      </c>
      <c r="H14" s="114">
        <v>2.0</v>
      </c>
      <c r="I14" s="114">
        <v>3.0</v>
      </c>
      <c r="J14" s="114">
        <v>3.0</v>
      </c>
      <c r="K14" s="96">
        <v>4.0</v>
      </c>
    </row>
    <row r="15" ht="12.75" customHeight="1">
      <c r="F15" s="96"/>
    </row>
    <row r="16" ht="14.25" customHeight="1">
      <c r="A16" s="95" t="s">
        <v>1262</v>
      </c>
      <c r="F16" s="96"/>
    </row>
    <row r="17" ht="14.25" customHeight="1">
      <c r="A17" s="95" t="s">
        <v>468</v>
      </c>
      <c r="F17" s="96"/>
    </row>
    <row r="18" ht="14.25" customHeight="1">
      <c r="A18" s="115" t="s">
        <v>1263</v>
      </c>
      <c r="F18" s="96"/>
    </row>
    <row r="19" ht="12.75" customHeight="1">
      <c r="F19" s="96"/>
    </row>
    <row r="20" ht="14.25" customHeight="1">
      <c r="A20" s="95" t="s">
        <v>470</v>
      </c>
      <c r="F20" s="96"/>
    </row>
    <row r="21" ht="14.25" customHeight="1">
      <c r="A21" s="115" t="s">
        <v>1264</v>
      </c>
      <c r="F21" s="96"/>
    </row>
    <row r="22" ht="12.75" customHeight="1">
      <c r="F22" s="96"/>
    </row>
    <row r="23" ht="14.25" customHeight="1">
      <c r="A23" s="95" t="s">
        <v>58</v>
      </c>
      <c r="B23" s="95" t="s">
        <v>37</v>
      </c>
      <c r="C23" s="95" t="s">
        <v>59</v>
      </c>
      <c r="D23" s="95" t="s">
        <v>60</v>
      </c>
      <c r="E23" s="95" t="s">
        <v>472</v>
      </c>
      <c r="F23" s="95" t="s">
        <v>54</v>
      </c>
    </row>
    <row r="24" ht="14.25" customHeight="1">
      <c r="A24" s="108" t="s">
        <v>401</v>
      </c>
      <c r="B24" s="95"/>
      <c r="C24" s="95"/>
      <c r="D24" s="95"/>
      <c r="E24" s="95"/>
      <c r="F24" s="95"/>
    </row>
    <row r="25" ht="14.25" customHeight="1">
      <c r="A25" s="95" t="s">
        <v>686</v>
      </c>
      <c r="F25" s="96"/>
    </row>
    <row r="26" ht="14.25" customHeight="1">
      <c r="A26" s="95" t="s">
        <v>1265</v>
      </c>
      <c r="B26" s="95" t="s">
        <v>263</v>
      </c>
      <c r="C26" s="99" t="s">
        <v>264</v>
      </c>
      <c r="D26" s="96">
        <v>0.0</v>
      </c>
      <c r="E26" s="95" t="s">
        <v>254</v>
      </c>
      <c r="F26" s="95" t="s">
        <v>1266</v>
      </c>
    </row>
    <row r="27" ht="14.25" customHeight="1">
      <c r="A27" s="95" t="s">
        <v>1267</v>
      </c>
      <c r="B27" s="95" t="s">
        <v>263</v>
      </c>
      <c r="C27" s="99" t="s">
        <v>264</v>
      </c>
      <c r="D27" s="96">
        <v>0.0</v>
      </c>
      <c r="E27" s="95" t="s">
        <v>254</v>
      </c>
      <c r="F27" s="95" t="s">
        <v>1268</v>
      </c>
    </row>
    <row r="28" ht="42.75" customHeight="1">
      <c r="A28" s="95" t="s">
        <v>1269</v>
      </c>
      <c r="B28" s="95" t="s">
        <v>1270</v>
      </c>
      <c r="C28" s="95" t="s">
        <v>635</v>
      </c>
      <c r="D28" s="95" t="s">
        <v>1271</v>
      </c>
      <c r="E28" s="95" t="s">
        <v>254</v>
      </c>
      <c r="F28" s="127" t="s">
        <v>1272</v>
      </c>
    </row>
    <row r="29" ht="14.25" customHeight="1">
      <c r="A29" s="95" t="s">
        <v>1273</v>
      </c>
      <c r="B29" s="95" t="s">
        <v>729</v>
      </c>
      <c r="C29" s="95" t="s">
        <v>603</v>
      </c>
      <c r="D29" s="96">
        <v>2.0</v>
      </c>
      <c r="E29" s="95" t="s">
        <v>254</v>
      </c>
      <c r="F29" s="95" t="s">
        <v>1274</v>
      </c>
    </row>
    <row r="30" ht="14.25" customHeight="1">
      <c r="A30" s="95" t="s">
        <v>1275</v>
      </c>
      <c r="B30" s="95" t="s">
        <v>263</v>
      </c>
      <c r="C30" s="99" t="s">
        <v>264</v>
      </c>
      <c r="D30" s="96">
        <v>0.0</v>
      </c>
      <c r="E30" s="95" t="s">
        <v>254</v>
      </c>
      <c r="F30" s="95" t="s">
        <v>1276</v>
      </c>
    </row>
    <row r="31" ht="14.25" customHeight="1">
      <c r="A31" s="95" t="s">
        <v>1277</v>
      </c>
      <c r="B31" s="95" t="s">
        <v>263</v>
      </c>
      <c r="C31" s="99" t="s">
        <v>264</v>
      </c>
      <c r="D31" s="96">
        <v>0.0</v>
      </c>
      <c r="E31" s="95" t="s">
        <v>254</v>
      </c>
      <c r="F31" s="95" t="s">
        <v>1278</v>
      </c>
    </row>
    <row r="32" ht="14.25" customHeight="1">
      <c r="A32" s="95" t="s">
        <v>1279</v>
      </c>
      <c r="B32" s="95" t="s">
        <v>263</v>
      </c>
      <c r="C32" s="99" t="s">
        <v>264</v>
      </c>
      <c r="D32" s="96">
        <v>0.0</v>
      </c>
      <c r="E32" s="95" t="s">
        <v>254</v>
      </c>
      <c r="F32" s="95" t="s">
        <v>1280</v>
      </c>
    </row>
    <row r="33" ht="14.25" customHeight="1">
      <c r="A33" s="95" t="s">
        <v>1281</v>
      </c>
      <c r="B33" s="95" t="s">
        <v>281</v>
      </c>
      <c r="C33" s="95" t="s">
        <v>635</v>
      </c>
      <c r="D33" s="96">
        <v>1.0</v>
      </c>
      <c r="E33" s="95" t="s">
        <v>254</v>
      </c>
      <c r="F33" s="95" t="s">
        <v>1282</v>
      </c>
    </row>
    <row r="34" ht="14.25" customHeight="1">
      <c r="A34" s="95" t="s">
        <v>1283</v>
      </c>
      <c r="B34" s="95" t="s">
        <v>263</v>
      </c>
      <c r="C34" s="99" t="s">
        <v>264</v>
      </c>
      <c r="D34" s="96">
        <v>0.0</v>
      </c>
      <c r="E34" s="95" t="s">
        <v>254</v>
      </c>
      <c r="F34" s="95" t="s">
        <v>1284</v>
      </c>
    </row>
    <row r="35" ht="71.25" customHeight="1">
      <c r="A35" s="95" t="s">
        <v>1285</v>
      </c>
      <c r="B35" s="95" t="s">
        <v>321</v>
      </c>
      <c r="C35" s="95" t="s">
        <v>603</v>
      </c>
      <c r="D35" s="96">
        <v>2.0</v>
      </c>
      <c r="E35" s="95" t="s">
        <v>254</v>
      </c>
      <c r="F35" s="127" t="s">
        <v>1286</v>
      </c>
    </row>
    <row r="36" ht="71.25" customHeight="1">
      <c r="A36" s="95" t="s">
        <v>1287</v>
      </c>
      <c r="B36" s="95" t="s">
        <v>281</v>
      </c>
      <c r="C36" s="95" t="s">
        <v>606</v>
      </c>
      <c r="D36" s="95" t="s">
        <v>1271</v>
      </c>
      <c r="E36" s="95" t="s">
        <v>254</v>
      </c>
      <c r="F36" s="127" t="s">
        <v>1288</v>
      </c>
    </row>
    <row r="37" ht="42.75" customHeight="1">
      <c r="A37" s="95" t="s">
        <v>1289</v>
      </c>
      <c r="B37" s="95" t="s">
        <v>252</v>
      </c>
      <c r="C37" s="99" t="s">
        <v>264</v>
      </c>
      <c r="D37" s="95" t="s">
        <v>1271</v>
      </c>
      <c r="E37" s="95" t="s">
        <v>254</v>
      </c>
      <c r="F37" s="127" t="s">
        <v>1290</v>
      </c>
    </row>
    <row r="38" ht="14.25" customHeight="1">
      <c r="A38" s="95" t="s">
        <v>1291</v>
      </c>
      <c r="B38" s="95" t="s">
        <v>263</v>
      </c>
      <c r="C38" s="99" t="s">
        <v>264</v>
      </c>
      <c r="D38" s="96">
        <v>0.0</v>
      </c>
      <c r="E38" s="95" t="s">
        <v>1292</v>
      </c>
      <c r="F38" s="95" t="s">
        <v>1293</v>
      </c>
    </row>
    <row r="39" ht="28.5" customHeight="1">
      <c r="A39" s="96" t="s">
        <v>1294</v>
      </c>
      <c r="B39" s="95" t="s">
        <v>263</v>
      </c>
      <c r="C39" s="99" t="s">
        <v>264</v>
      </c>
      <c r="D39" s="96">
        <v>0.0</v>
      </c>
      <c r="E39" s="95" t="s">
        <v>1295</v>
      </c>
      <c r="F39" s="127" t="s">
        <v>1296</v>
      </c>
    </row>
    <row r="40" ht="14.25" customHeight="1">
      <c r="A40" s="95" t="s">
        <v>1297</v>
      </c>
      <c r="F40" s="96"/>
    </row>
    <row r="41" ht="28.5" customHeight="1">
      <c r="A41" s="95" t="s">
        <v>1298</v>
      </c>
      <c r="B41" s="95" t="s">
        <v>281</v>
      </c>
      <c r="C41" s="95" t="s">
        <v>606</v>
      </c>
      <c r="D41" s="96">
        <v>2.0</v>
      </c>
      <c r="E41" s="95" t="s">
        <v>1292</v>
      </c>
      <c r="F41" s="100" t="s">
        <v>1299</v>
      </c>
    </row>
    <row r="42" ht="42.75" customHeight="1">
      <c r="A42" s="95" t="s">
        <v>1300</v>
      </c>
      <c r="B42" s="95" t="s">
        <v>281</v>
      </c>
      <c r="C42" s="99" t="s">
        <v>264</v>
      </c>
      <c r="D42" s="96">
        <v>0.0</v>
      </c>
      <c r="E42" s="95" t="s">
        <v>1301</v>
      </c>
      <c r="F42" s="127" t="s">
        <v>1302</v>
      </c>
    </row>
    <row r="43" ht="14.25" customHeight="1">
      <c r="A43" s="95" t="s">
        <v>1303</v>
      </c>
      <c r="B43" s="95" t="s">
        <v>263</v>
      </c>
      <c r="C43" s="99" t="s">
        <v>264</v>
      </c>
      <c r="D43" s="96">
        <v>0.0</v>
      </c>
      <c r="E43" s="95" t="s">
        <v>1301</v>
      </c>
      <c r="F43" s="95" t="s">
        <v>1304</v>
      </c>
    </row>
    <row r="44" ht="42.75" customHeight="1">
      <c r="A44" s="95" t="s">
        <v>1305</v>
      </c>
      <c r="B44" s="95" t="s">
        <v>263</v>
      </c>
      <c r="C44" s="99" t="s">
        <v>264</v>
      </c>
      <c r="D44" s="96">
        <v>0.0</v>
      </c>
      <c r="E44" s="95" t="s">
        <v>1306</v>
      </c>
      <c r="F44" s="127" t="s">
        <v>1307</v>
      </c>
    </row>
    <row r="45" ht="14.25" customHeight="1">
      <c r="A45" s="95" t="s">
        <v>1308</v>
      </c>
      <c r="B45" s="95" t="s">
        <v>1309</v>
      </c>
      <c r="C45" s="95" t="s">
        <v>606</v>
      </c>
      <c r="D45" s="96">
        <v>3.0</v>
      </c>
      <c r="E45" s="95" t="s">
        <v>1310</v>
      </c>
      <c r="F45" s="95" t="s">
        <v>1311</v>
      </c>
    </row>
    <row r="46" ht="14.25" customHeight="1">
      <c r="A46" s="95" t="s">
        <v>1312</v>
      </c>
      <c r="B46" s="95" t="s">
        <v>321</v>
      </c>
      <c r="C46" s="95" t="s">
        <v>563</v>
      </c>
      <c r="D46" s="96">
        <v>0.0</v>
      </c>
      <c r="E46" s="95" t="s">
        <v>1313</v>
      </c>
      <c r="F46" s="95" t="s">
        <v>1314</v>
      </c>
    </row>
    <row r="47" ht="28.5" customHeight="1">
      <c r="A47" s="95" t="s">
        <v>1315</v>
      </c>
      <c r="B47" s="95" t="s">
        <v>263</v>
      </c>
      <c r="C47" s="99" t="s">
        <v>264</v>
      </c>
      <c r="D47" s="96">
        <v>0.0</v>
      </c>
      <c r="E47" s="95" t="s">
        <v>1306</v>
      </c>
      <c r="F47" s="127" t="s">
        <v>1316</v>
      </c>
    </row>
    <row r="48" ht="71.25" customHeight="1">
      <c r="A48" s="95" t="s">
        <v>1317</v>
      </c>
      <c r="B48" s="95" t="s">
        <v>252</v>
      </c>
      <c r="C48" s="95" t="s">
        <v>1318</v>
      </c>
      <c r="D48" s="96">
        <v>0.0</v>
      </c>
      <c r="E48" s="95" t="s">
        <v>1313</v>
      </c>
      <c r="F48" s="127" t="s">
        <v>1319</v>
      </c>
    </row>
    <row r="49" ht="12.75" customHeight="1">
      <c r="F49" s="96"/>
    </row>
    <row r="50" ht="12.75" customHeight="1">
      <c r="F50" s="96"/>
    </row>
    <row r="51" ht="12.75" customHeight="1">
      <c r="F51" s="96"/>
    </row>
    <row r="52" ht="12.75" customHeight="1">
      <c r="F52" s="96"/>
    </row>
    <row r="53" ht="12.75" customHeight="1">
      <c r="F53" s="96"/>
    </row>
    <row r="54" ht="12.75" customHeight="1">
      <c r="F54" s="96"/>
    </row>
    <row r="55" ht="12.75" customHeight="1">
      <c r="F55" s="96"/>
    </row>
    <row r="56" ht="12.75" customHeight="1">
      <c r="F56" s="96"/>
    </row>
    <row r="57" ht="12.75" customHeight="1">
      <c r="F57" s="96"/>
    </row>
    <row r="58" ht="12.75" customHeight="1">
      <c r="F58" s="96"/>
    </row>
    <row r="59" ht="12.75" customHeight="1">
      <c r="F59" s="96"/>
    </row>
    <row r="60" ht="12.75" customHeight="1">
      <c r="F60" s="96"/>
    </row>
    <row r="61" ht="12.75" customHeight="1">
      <c r="F61" s="96"/>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82.5"/>
    <col customWidth="1" min="7" max="26" width="7.63"/>
  </cols>
  <sheetData>
    <row r="1" ht="14.25" customHeight="1">
      <c r="A1" s="95" t="s">
        <v>1320</v>
      </c>
      <c r="F1" s="96"/>
    </row>
    <row r="2" ht="14.25" customHeight="1">
      <c r="A2" s="95" t="s">
        <v>1321</v>
      </c>
      <c r="F2" s="96"/>
    </row>
    <row r="3" ht="14.25" customHeight="1">
      <c r="A3" s="95" t="s">
        <v>33</v>
      </c>
      <c r="B3" s="95" t="s">
        <v>38</v>
      </c>
      <c r="C3" s="95" t="s">
        <v>42</v>
      </c>
      <c r="D3" s="95" t="s">
        <v>48</v>
      </c>
      <c r="F3" s="96"/>
    </row>
    <row r="4" ht="12.75" customHeight="1">
      <c r="A4" s="113">
        <v>2.0</v>
      </c>
      <c r="B4" s="113">
        <v>3.0</v>
      </c>
      <c r="C4" s="113">
        <v>2.0</v>
      </c>
      <c r="D4" s="113">
        <v>5.0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-1.0</v>
      </c>
      <c r="C8" s="114">
        <v>-1.0</v>
      </c>
      <c r="D8" s="114">
        <v>0.0</v>
      </c>
      <c r="E8" s="114">
        <v>1.0</v>
      </c>
      <c r="F8" s="114">
        <v>5.0</v>
      </c>
      <c r="G8" s="114">
        <v>6.0</v>
      </c>
      <c r="H8" s="114">
        <v>7.0</v>
      </c>
      <c r="I8" s="114">
        <v>8.0</v>
      </c>
      <c r="J8" s="114">
        <v>10.0</v>
      </c>
      <c r="K8" s="114">
        <v>11.0</v>
      </c>
    </row>
    <row r="9" ht="12.75" customHeight="1">
      <c r="A9" s="106" t="s">
        <v>17</v>
      </c>
      <c r="B9" s="114">
        <v>-1.0</v>
      </c>
      <c r="C9" s="114">
        <v>-1.0</v>
      </c>
      <c r="D9" s="114">
        <v>0.0</v>
      </c>
      <c r="E9" s="114">
        <v>1.0</v>
      </c>
      <c r="F9" s="114">
        <v>5.0</v>
      </c>
      <c r="G9" s="114">
        <v>7.0</v>
      </c>
      <c r="H9" s="114">
        <v>9.0</v>
      </c>
      <c r="I9" s="114">
        <v>10.0</v>
      </c>
      <c r="J9" s="114">
        <v>12.0</v>
      </c>
      <c r="K9" s="96">
        <v>14.0</v>
      </c>
    </row>
    <row r="10" ht="12.75" customHeight="1">
      <c r="A10" s="106" t="s">
        <v>22</v>
      </c>
      <c r="B10" s="114">
        <v>0.0</v>
      </c>
      <c r="C10" s="114">
        <v>0.0</v>
      </c>
      <c r="D10" s="114">
        <v>1.0</v>
      </c>
      <c r="E10" s="114">
        <v>2.0</v>
      </c>
      <c r="F10" s="114">
        <v>5.0</v>
      </c>
      <c r="G10" s="114">
        <v>7.0</v>
      </c>
      <c r="H10" s="114">
        <v>9.0</v>
      </c>
      <c r="I10" s="114">
        <v>10.0</v>
      </c>
      <c r="J10" s="114">
        <v>11.0</v>
      </c>
      <c r="K10" s="96">
        <v>12.0</v>
      </c>
    </row>
    <row r="11" ht="12.75" customHeight="1">
      <c r="A11" s="106" t="s">
        <v>27</v>
      </c>
      <c r="B11" s="114">
        <v>0.0</v>
      </c>
      <c r="C11" s="114">
        <v>1.0</v>
      </c>
      <c r="D11" s="114">
        <v>1.0</v>
      </c>
      <c r="E11" s="114">
        <v>4.0</v>
      </c>
      <c r="F11" s="114">
        <v>8.0</v>
      </c>
      <c r="G11" s="114">
        <v>10.0</v>
      </c>
      <c r="H11" s="114">
        <v>11.0</v>
      </c>
      <c r="I11" s="114">
        <v>12.0</v>
      </c>
      <c r="J11" s="114">
        <v>13.0</v>
      </c>
      <c r="K11" s="96">
        <v>14.0</v>
      </c>
    </row>
    <row r="12" ht="12.75" customHeight="1">
      <c r="A12" s="106" t="s">
        <v>31</v>
      </c>
      <c r="B12" s="114">
        <v>0.0</v>
      </c>
      <c r="C12" s="114">
        <v>0.0</v>
      </c>
      <c r="D12" s="114">
        <v>5.0</v>
      </c>
      <c r="E12" s="114">
        <v>10.0</v>
      </c>
      <c r="F12" s="114">
        <v>15.0</v>
      </c>
      <c r="G12" s="114">
        <v>17.0</v>
      </c>
      <c r="H12" s="114">
        <v>20.0</v>
      </c>
      <c r="I12" s="114">
        <v>23.0</v>
      </c>
      <c r="J12" s="114">
        <v>26.0</v>
      </c>
      <c r="K12" s="96">
        <v>29.0</v>
      </c>
    </row>
    <row r="13" ht="12.75" customHeight="1">
      <c r="A13" s="106" t="s">
        <v>35</v>
      </c>
      <c r="B13" s="114">
        <v>5.0</v>
      </c>
      <c r="C13" s="114">
        <v>5.0</v>
      </c>
      <c r="D13" s="114">
        <v>5.0</v>
      </c>
      <c r="E13" s="114">
        <v>10.0</v>
      </c>
      <c r="F13" s="114">
        <v>15.0</v>
      </c>
      <c r="G13" s="114">
        <v>20.0</v>
      </c>
      <c r="H13" s="114">
        <v>25.0</v>
      </c>
      <c r="I13" s="114">
        <v>28.0</v>
      </c>
      <c r="J13" s="114">
        <v>31.0</v>
      </c>
      <c r="K13" s="96">
        <v>34.0</v>
      </c>
    </row>
    <row r="14" ht="12.75" customHeight="1">
      <c r="A14" s="106" t="s">
        <v>40</v>
      </c>
      <c r="B14" s="114">
        <v>0.0</v>
      </c>
      <c r="C14" s="114">
        <v>0.0</v>
      </c>
      <c r="D14" s="114">
        <v>0.0</v>
      </c>
      <c r="E14" s="114">
        <v>0.0</v>
      </c>
      <c r="F14" s="114">
        <v>1.0</v>
      </c>
      <c r="G14" s="114">
        <v>1.0</v>
      </c>
      <c r="H14" s="114">
        <v>1.0</v>
      </c>
      <c r="I14" s="114">
        <v>2.0</v>
      </c>
      <c r="J14" s="114">
        <v>2.0</v>
      </c>
      <c r="K14" s="96">
        <v>2.0</v>
      </c>
    </row>
    <row r="15" ht="12.75" customHeight="1">
      <c r="F15" s="96"/>
    </row>
    <row r="16" ht="14.25" customHeight="1">
      <c r="A16" s="95" t="s">
        <v>1322</v>
      </c>
      <c r="F16" s="96"/>
    </row>
    <row r="17" ht="14.25" customHeight="1">
      <c r="A17" s="95" t="s">
        <v>468</v>
      </c>
      <c r="F17" s="96"/>
    </row>
    <row r="18" ht="14.25" customHeight="1">
      <c r="A18" s="115" t="s">
        <v>799</v>
      </c>
      <c r="F18" s="96"/>
    </row>
    <row r="19" ht="12.75" customHeight="1">
      <c r="F19" s="96"/>
    </row>
    <row r="20" ht="14.25" customHeight="1">
      <c r="A20" s="95" t="s">
        <v>470</v>
      </c>
      <c r="F20" s="96"/>
    </row>
    <row r="21" ht="14.25" customHeight="1">
      <c r="A21" s="115" t="s">
        <v>1323</v>
      </c>
      <c r="F21" s="96"/>
    </row>
    <row r="22" ht="12.75" customHeight="1">
      <c r="F22" s="96"/>
    </row>
    <row r="23" ht="14.25" customHeight="1">
      <c r="A23" s="95" t="s">
        <v>58</v>
      </c>
      <c r="B23" s="95" t="s">
        <v>37</v>
      </c>
      <c r="C23" s="95" t="s">
        <v>59</v>
      </c>
      <c r="D23" s="95" t="s">
        <v>60</v>
      </c>
      <c r="E23" s="95" t="s">
        <v>472</v>
      </c>
      <c r="F23" s="95" t="s">
        <v>54</v>
      </c>
    </row>
    <row r="24" ht="14.25" customHeight="1">
      <c r="A24" s="108" t="s">
        <v>1320</v>
      </c>
      <c r="B24" s="95"/>
      <c r="C24" s="95"/>
      <c r="D24" s="95"/>
      <c r="E24" s="95"/>
      <c r="F24" s="95"/>
    </row>
    <row r="25" ht="14.25" customHeight="1">
      <c r="A25" s="95" t="s">
        <v>686</v>
      </c>
      <c r="F25" s="96"/>
    </row>
    <row r="26" ht="14.25" customHeight="1">
      <c r="A26" s="95" t="s">
        <v>1324</v>
      </c>
      <c r="B26" s="95" t="s">
        <v>1325</v>
      </c>
      <c r="C26" s="99" t="s">
        <v>264</v>
      </c>
      <c r="D26" s="96">
        <v>0.0</v>
      </c>
      <c r="E26" s="95" t="s">
        <v>254</v>
      </c>
      <c r="F26" s="95" t="s">
        <v>1326</v>
      </c>
    </row>
    <row r="27" ht="14.25" customHeight="1">
      <c r="A27" s="95" t="s">
        <v>1327</v>
      </c>
      <c r="B27" s="95" t="s">
        <v>816</v>
      </c>
      <c r="C27" s="95" t="s">
        <v>1202</v>
      </c>
      <c r="D27" s="96">
        <v>0.0</v>
      </c>
      <c r="E27" s="95" t="s">
        <v>254</v>
      </c>
      <c r="F27" s="95" t="s">
        <v>1328</v>
      </c>
    </row>
    <row r="28" ht="14.25" customHeight="1">
      <c r="A28" s="95" t="s">
        <v>1329</v>
      </c>
      <c r="B28" s="95" t="s">
        <v>252</v>
      </c>
      <c r="C28" s="95" t="s">
        <v>639</v>
      </c>
      <c r="D28" s="96">
        <v>0.0</v>
      </c>
      <c r="E28" s="95" t="s">
        <v>254</v>
      </c>
      <c r="F28" s="95" t="s">
        <v>1330</v>
      </c>
    </row>
    <row r="29" ht="14.25" customHeight="1">
      <c r="A29" s="95" t="s">
        <v>1331</v>
      </c>
      <c r="B29" s="95" t="s">
        <v>263</v>
      </c>
      <c r="C29" s="99" t="s">
        <v>264</v>
      </c>
      <c r="D29" s="95" t="s">
        <v>1332</v>
      </c>
      <c r="E29" s="95" t="s">
        <v>254</v>
      </c>
      <c r="F29" s="95" t="s">
        <v>1333</v>
      </c>
    </row>
    <row r="30" ht="14.25" customHeight="1">
      <c r="A30" s="95" t="s">
        <v>1334</v>
      </c>
      <c r="B30" s="95" t="s">
        <v>263</v>
      </c>
      <c r="C30" s="99" t="s">
        <v>264</v>
      </c>
      <c r="D30" s="96">
        <v>0.0</v>
      </c>
      <c r="E30" s="95" t="s">
        <v>254</v>
      </c>
      <c r="F30" s="95" t="s">
        <v>1335</v>
      </c>
    </row>
    <row r="31" ht="14.25" customHeight="1">
      <c r="A31" s="95" t="s">
        <v>227</v>
      </c>
      <c r="B31" s="95" t="s">
        <v>281</v>
      </c>
      <c r="C31" s="95" t="s">
        <v>606</v>
      </c>
      <c r="D31" s="96">
        <v>0.0</v>
      </c>
      <c r="E31" s="95" t="s">
        <v>254</v>
      </c>
      <c r="F31" s="95" t="s">
        <v>1336</v>
      </c>
    </row>
    <row r="32" ht="14.25" customHeight="1">
      <c r="A32" s="95" t="s">
        <v>1337</v>
      </c>
      <c r="B32" s="95" t="s">
        <v>263</v>
      </c>
      <c r="C32" s="99" t="s">
        <v>264</v>
      </c>
      <c r="D32" s="96">
        <v>0.0</v>
      </c>
      <c r="E32" s="95" t="s">
        <v>254</v>
      </c>
      <c r="F32" s="95" t="s">
        <v>1338</v>
      </c>
    </row>
    <row r="33" ht="14.25" customHeight="1">
      <c r="A33" s="95" t="s">
        <v>1339</v>
      </c>
      <c r="B33" s="95" t="s">
        <v>816</v>
      </c>
      <c r="C33" s="99" t="s">
        <v>264</v>
      </c>
      <c r="D33" s="96">
        <v>5.0</v>
      </c>
      <c r="E33" s="95" t="s">
        <v>254</v>
      </c>
      <c r="F33" s="95" t="s">
        <v>1340</v>
      </c>
    </row>
    <row r="34" ht="14.25" customHeight="1">
      <c r="A34" s="95" t="s">
        <v>1341</v>
      </c>
      <c r="B34" s="95" t="s">
        <v>816</v>
      </c>
      <c r="C34" s="95" t="s">
        <v>1342</v>
      </c>
      <c r="D34" s="96">
        <v>0.0</v>
      </c>
      <c r="E34" s="95" t="s">
        <v>254</v>
      </c>
      <c r="F34" s="95" t="s">
        <v>1343</v>
      </c>
    </row>
    <row r="35" ht="14.25" customHeight="1">
      <c r="A35" s="95" t="s">
        <v>1344</v>
      </c>
      <c r="B35" s="95" t="s">
        <v>816</v>
      </c>
      <c r="C35" s="95" t="s">
        <v>1345</v>
      </c>
      <c r="D35" s="96">
        <v>0.0</v>
      </c>
      <c r="E35" s="95" t="s">
        <v>254</v>
      </c>
      <c r="F35" s="95" t="s">
        <v>1346</v>
      </c>
    </row>
    <row r="36" ht="14.25" customHeight="1">
      <c r="A36" s="95" t="s">
        <v>1347</v>
      </c>
      <c r="B36" s="95" t="s">
        <v>1348</v>
      </c>
      <c r="C36" s="99" t="s">
        <v>264</v>
      </c>
      <c r="D36" s="96">
        <v>5.0</v>
      </c>
      <c r="E36" s="95" t="s">
        <v>254</v>
      </c>
      <c r="F36" s="95" t="s">
        <v>1349</v>
      </c>
    </row>
    <row r="37" ht="14.25" customHeight="1">
      <c r="A37" s="95" t="s">
        <v>1350</v>
      </c>
      <c r="B37" s="95" t="s">
        <v>281</v>
      </c>
      <c r="C37" s="99" t="s">
        <v>264</v>
      </c>
      <c r="D37" s="96">
        <v>5.0</v>
      </c>
      <c r="E37" s="95" t="s">
        <v>254</v>
      </c>
      <c r="F37" s="95" t="s">
        <v>1351</v>
      </c>
    </row>
    <row r="38" ht="14.25" customHeight="1">
      <c r="A38" s="95" t="s">
        <v>1352</v>
      </c>
      <c r="B38" s="95" t="s">
        <v>263</v>
      </c>
      <c r="C38" s="95" t="s">
        <v>1353</v>
      </c>
      <c r="D38" s="96">
        <v>5.0</v>
      </c>
      <c r="E38" s="95" t="s">
        <v>254</v>
      </c>
      <c r="F38" s="95" t="s">
        <v>1354</v>
      </c>
    </row>
    <row r="39" ht="42.75" customHeight="1">
      <c r="A39" s="95" t="s">
        <v>1355</v>
      </c>
      <c r="B39" s="95" t="s">
        <v>263</v>
      </c>
      <c r="C39" s="99" t="s">
        <v>264</v>
      </c>
      <c r="D39" s="95" t="s">
        <v>1356</v>
      </c>
      <c r="E39" s="95" t="s">
        <v>448</v>
      </c>
      <c r="F39" s="127" t="s">
        <v>1357</v>
      </c>
    </row>
    <row r="40" ht="42.75" customHeight="1">
      <c r="A40" s="95" t="s">
        <v>1358</v>
      </c>
      <c r="B40" s="95" t="s">
        <v>634</v>
      </c>
      <c r="C40" s="95" t="s">
        <v>516</v>
      </c>
      <c r="D40" s="96">
        <v>0.0</v>
      </c>
      <c r="E40" s="95" t="s">
        <v>254</v>
      </c>
      <c r="F40" s="127" t="s">
        <v>1359</v>
      </c>
    </row>
    <row r="41" ht="14.25" customHeight="1">
      <c r="A41" s="95" t="s">
        <v>1360</v>
      </c>
      <c r="B41" s="95" t="s">
        <v>263</v>
      </c>
      <c r="C41" s="99" t="s">
        <v>264</v>
      </c>
      <c r="D41" s="96">
        <v>0.0</v>
      </c>
      <c r="E41" s="95" t="s">
        <v>254</v>
      </c>
      <c r="F41" s="95" t="s">
        <v>1361</v>
      </c>
    </row>
    <row r="42" ht="14.25" customHeight="1">
      <c r="A42" s="95" t="s">
        <v>1362</v>
      </c>
      <c r="F42" s="96"/>
    </row>
    <row r="43" ht="71.25" customHeight="1">
      <c r="A43" s="95" t="s">
        <v>1363</v>
      </c>
      <c r="B43" s="95" t="s">
        <v>281</v>
      </c>
      <c r="C43" s="95" t="s">
        <v>563</v>
      </c>
      <c r="D43" s="96">
        <v>0.0</v>
      </c>
      <c r="E43" s="95" t="s">
        <v>1364</v>
      </c>
      <c r="F43" s="127" t="s">
        <v>1365</v>
      </c>
    </row>
    <row r="44" ht="42.75" customHeight="1">
      <c r="A44" s="95" t="s">
        <v>1366</v>
      </c>
      <c r="B44" s="95" t="s">
        <v>252</v>
      </c>
      <c r="C44" s="95" t="s">
        <v>516</v>
      </c>
      <c r="D44" s="96">
        <v>0.0</v>
      </c>
      <c r="E44" s="95" t="s">
        <v>1367</v>
      </c>
      <c r="F44" s="100" t="s">
        <v>1368</v>
      </c>
    </row>
    <row r="45" ht="28.5" customHeight="1">
      <c r="A45" s="95" t="s">
        <v>1369</v>
      </c>
      <c r="B45" s="95" t="s">
        <v>1309</v>
      </c>
      <c r="C45" s="95" t="s">
        <v>494</v>
      </c>
      <c r="D45" s="96">
        <v>0.0</v>
      </c>
      <c r="E45" s="95" t="s">
        <v>1370</v>
      </c>
      <c r="F45" s="127" t="s">
        <v>1371</v>
      </c>
    </row>
    <row r="46" ht="28.5" customHeight="1">
      <c r="A46" s="95" t="s">
        <v>1372</v>
      </c>
      <c r="B46" s="95" t="s">
        <v>281</v>
      </c>
      <c r="C46" s="95" t="s">
        <v>494</v>
      </c>
      <c r="D46" s="96">
        <v>0.0</v>
      </c>
      <c r="E46" s="95" t="s">
        <v>1373</v>
      </c>
      <c r="F46" s="127" t="s">
        <v>1374</v>
      </c>
    </row>
    <row r="47" ht="28.5" customHeight="1">
      <c r="A47" s="95" t="s">
        <v>1375</v>
      </c>
      <c r="B47" s="95" t="s">
        <v>263</v>
      </c>
      <c r="C47" s="95" t="s">
        <v>494</v>
      </c>
      <c r="D47" s="96">
        <v>0.0</v>
      </c>
      <c r="E47" s="95" t="s">
        <v>1376</v>
      </c>
      <c r="F47" s="127" t="s">
        <v>1377</v>
      </c>
    </row>
    <row r="48" ht="57.0" customHeight="1">
      <c r="A48" s="95" t="s">
        <v>1378</v>
      </c>
      <c r="B48" s="95" t="s">
        <v>263</v>
      </c>
      <c r="C48" s="99" t="s">
        <v>264</v>
      </c>
      <c r="D48" s="96">
        <v>0.0</v>
      </c>
      <c r="E48" s="95" t="s">
        <v>1379</v>
      </c>
      <c r="F48" s="127" t="s">
        <v>1380</v>
      </c>
    </row>
    <row r="49" ht="14.25" customHeight="1">
      <c r="A49" s="95" t="s">
        <v>1381</v>
      </c>
      <c r="B49" s="95" t="s">
        <v>1382</v>
      </c>
      <c r="C49" s="95" t="s">
        <v>516</v>
      </c>
      <c r="D49" s="96">
        <v>0.0</v>
      </c>
      <c r="E49" s="95" t="s">
        <v>1383</v>
      </c>
      <c r="F49" s="95" t="s">
        <v>1384</v>
      </c>
    </row>
    <row r="50" ht="85.5" customHeight="1">
      <c r="A50" s="95" t="s">
        <v>1385</v>
      </c>
      <c r="B50" s="95" t="s">
        <v>473</v>
      </c>
      <c r="C50" s="95" t="s">
        <v>897</v>
      </c>
      <c r="D50" s="96">
        <v>0.0</v>
      </c>
      <c r="E50" s="95" t="s">
        <v>1386</v>
      </c>
      <c r="F50" s="127" t="s">
        <v>1387</v>
      </c>
    </row>
    <row r="51" ht="14.25" customHeight="1">
      <c r="A51" s="95" t="s">
        <v>1388</v>
      </c>
      <c r="B51" s="95" t="s">
        <v>321</v>
      </c>
      <c r="C51" s="99" t="s">
        <v>264</v>
      </c>
      <c r="D51" s="95" t="s">
        <v>1002</v>
      </c>
      <c r="E51" s="95" t="s">
        <v>1389</v>
      </c>
      <c r="F51" s="95" t="s">
        <v>1390</v>
      </c>
    </row>
    <row r="52" ht="71.25" customHeight="1">
      <c r="A52" s="95" t="s">
        <v>1391</v>
      </c>
      <c r="B52" s="95" t="s">
        <v>634</v>
      </c>
      <c r="C52" s="99" t="s">
        <v>264</v>
      </c>
      <c r="D52" s="96">
        <v>0.0</v>
      </c>
      <c r="E52" s="95" t="s">
        <v>1389</v>
      </c>
      <c r="F52" s="127" t="s">
        <v>1392</v>
      </c>
    </row>
    <row r="53" ht="57.0" customHeight="1">
      <c r="A53" s="95" t="s">
        <v>1393</v>
      </c>
      <c r="B53" s="95" t="s">
        <v>1270</v>
      </c>
      <c r="C53" s="95" t="s">
        <v>1394</v>
      </c>
      <c r="D53" s="96">
        <v>0.0</v>
      </c>
      <c r="E53" s="95" t="s">
        <v>1395</v>
      </c>
      <c r="F53" s="127" t="s">
        <v>1396</v>
      </c>
    </row>
    <row r="54" ht="12.75" customHeight="1">
      <c r="F54" s="96"/>
    </row>
    <row r="55" ht="12.75" customHeight="1">
      <c r="F55" s="96"/>
    </row>
    <row r="56" ht="12.75" customHeight="1">
      <c r="F56" s="96"/>
    </row>
    <row r="57" ht="12.75" customHeight="1">
      <c r="F57" s="96"/>
    </row>
    <row r="58" ht="12.75" customHeight="1">
      <c r="F58" s="96"/>
    </row>
    <row r="59" ht="12.75" customHeight="1">
      <c r="F59" s="96"/>
    </row>
    <row r="60" ht="12.75" customHeight="1">
      <c r="F60" s="96"/>
    </row>
    <row r="61" ht="12.75" customHeight="1">
      <c r="F61" s="96"/>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51.5"/>
    <col customWidth="1" min="7" max="26" width="7.63"/>
  </cols>
  <sheetData>
    <row r="1" ht="14.25" customHeight="1">
      <c r="A1" s="95" t="s">
        <v>1397</v>
      </c>
      <c r="F1" s="96"/>
    </row>
    <row r="2" ht="14.25" customHeight="1">
      <c r="A2" s="95" t="s">
        <v>1398</v>
      </c>
      <c r="F2" s="96"/>
    </row>
    <row r="3" ht="14.25" customHeight="1">
      <c r="A3" s="95" t="s">
        <v>33</v>
      </c>
      <c r="B3" s="95" t="s">
        <v>38</v>
      </c>
      <c r="C3" s="95" t="s">
        <v>42</v>
      </c>
      <c r="D3" s="95" t="s">
        <v>48</v>
      </c>
      <c r="F3" s="96"/>
    </row>
    <row r="4" ht="12.75" customHeight="1">
      <c r="A4" s="113">
        <v>1.0</v>
      </c>
      <c r="B4" s="113">
        <v>4.0</v>
      </c>
      <c r="C4" s="113">
        <v>4.0</v>
      </c>
      <c r="D4" s="113">
        <v>3.0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0.0</v>
      </c>
      <c r="C8" s="114">
        <v>0.0</v>
      </c>
      <c r="D8" s="114">
        <v>0.0</v>
      </c>
      <c r="E8" s="114">
        <v>0.0</v>
      </c>
      <c r="F8" s="114">
        <v>0.0</v>
      </c>
      <c r="G8" s="114">
        <v>0.0</v>
      </c>
      <c r="H8" s="114">
        <v>0.0</v>
      </c>
      <c r="I8" s="114">
        <v>0.0</v>
      </c>
      <c r="J8" s="114">
        <v>0.0</v>
      </c>
      <c r="K8" s="96">
        <v>0.0</v>
      </c>
    </row>
    <row r="9" ht="12.75" customHeight="1">
      <c r="A9" s="106" t="s">
        <v>17</v>
      </c>
      <c r="B9" s="114">
        <v>0.0</v>
      </c>
      <c r="C9" s="114">
        <v>0.0</v>
      </c>
      <c r="D9" s="114">
        <v>0.0</v>
      </c>
      <c r="E9" s="114">
        <v>0.0</v>
      </c>
      <c r="F9" s="114">
        <v>0.0</v>
      </c>
      <c r="G9" s="114">
        <v>0.0</v>
      </c>
      <c r="H9" s="114">
        <v>0.0</v>
      </c>
      <c r="I9" s="114">
        <v>0.0</v>
      </c>
      <c r="J9" s="114">
        <v>0.0</v>
      </c>
      <c r="K9" s="96">
        <v>0.0</v>
      </c>
    </row>
    <row r="10" ht="12.75" customHeight="1">
      <c r="A10" s="106" t="s">
        <v>22</v>
      </c>
      <c r="B10" s="114">
        <v>0.0</v>
      </c>
      <c r="C10" s="114">
        <v>0.0</v>
      </c>
      <c r="D10" s="114">
        <v>0.0</v>
      </c>
      <c r="E10" s="114">
        <v>0.0</v>
      </c>
      <c r="F10" s="114">
        <v>0.0</v>
      </c>
      <c r="G10" s="114">
        <v>0.0</v>
      </c>
      <c r="H10" s="114">
        <v>0.0</v>
      </c>
      <c r="I10" s="114">
        <v>0.0</v>
      </c>
      <c r="J10" s="114">
        <v>0.0</v>
      </c>
      <c r="K10" s="96">
        <v>0.0</v>
      </c>
    </row>
    <row r="11" ht="12.75" customHeight="1">
      <c r="A11" s="106" t="s">
        <v>27</v>
      </c>
      <c r="B11" s="114">
        <v>0.0</v>
      </c>
      <c r="C11" s="114">
        <v>0.0</v>
      </c>
      <c r="D11" s="114">
        <v>0.0</v>
      </c>
      <c r="E11" s="114">
        <v>0.0</v>
      </c>
      <c r="F11" s="114">
        <v>0.0</v>
      </c>
      <c r="G11" s="114">
        <v>0.0</v>
      </c>
      <c r="H11" s="114">
        <v>0.0</v>
      </c>
      <c r="I11" s="114">
        <v>0.0</v>
      </c>
      <c r="J11" s="114">
        <v>0.0</v>
      </c>
      <c r="K11" s="96">
        <v>0.0</v>
      </c>
    </row>
    <row r="12" ht="12.75" customHeight="1">
      <c r="A12" s="106" t="s">
        <v>31</v>
      </c>
      <c r="B12" s="114">
        <v>0.0</v>
      </c>
      <c r="C12" s="114">
        <v>0.0</v>
      </c>
      <c r="D12" s="114">
        <v>0.0</v>
      </c>
      <c r="E12" s="114">
        <v>0.0</v>
      </c>
      <c r="F12" s="114">
        <v>0.0</v>
      </c>
      <c r="G12" s="114">
        <v>0.0</v>
      </c>
      <c r="H12" s="114">
        <v>0.0</v>
      </c>
      <c r="I12" s="114">
        <v>0.0</v>
      </c>
      <c r="J12" s="114">
        <v>0.0</v>
      </c>
      <c r="K12" s="96">
        <v>0.0</v>
      </c>
    </row>
    <row r="13" ht="12.75" customHeight="1">
      <c r="A13" s="106" t="s">
        <v>35</v>
      </c>
      <c r="B13" s="114">
        <v>0.0</v>
      </c>
      <c r="C13" s="114">
        <v>0.0</v>
      </c>
      <c r="D13" s="114">
        <v>0.0</v>
      </c>
      <c r="E13" s="114">
        <v>0.0</v>
      </c>
      <c r="F13" s="114">
        <v>0.0</v>
      </c>
      <c r="G13" s="114">
        <v>0.0</v>
      </c>
      <c r="H13" s="114">
        <v>0.0</v>
      </c>
      <c r="I13" s="114">
        <v>0.0</v>
      </c>
      <c r="J13" s="114">
        <v>0.0</v>
      </c>
      <c r="K13" s="96">
        <v>0.0</v>
      </c>
    </row>
    <row r="14" ht="12.75" customHeight="1">
      <c r="A14" s="106" t="s">
        <v>40</v>
      </c>
      <c r="B14" s="114">
        <v>0.0</v>
      </c>
      <c r="C14" s="114">
        <v>0.0</v>
      </c>
      <c r="D14" s="114">
        <v>0.0</v>
      </c>
      <c r="E14" s="114">
        <v>0.0</v>
      </c>
      <c r="F14" s="114">
        <v>0.0</v>
      </c>
      <c r="G14" s="114">
        <v>0.0</v>
      </c>
      <c r="H14" s="114">
        <v>0.0</v>
      </c>
      <c r="I14" s="114">
        <v>0.0</v>
      </c>
      <c r="J14" s="114">
        <v>0.0</v>
      </c>
      <c r="K14" s="96">
        <v>0.0</v>
      </c>
    </row>
    <row r="15" ht="12.75" customHeight="1">
      <c r="F15" s="96"/>
    </row>
    <row r="16" ht="14.25" customHeight="1">
      <c r="A16" s="95" t="s">
        <v>1399</v>
      </c>
      <c r="F16" s="96"/>
    </row>
    <row r="17" ht="14.25" customHeight="1">
      <c r="A17" s="95" t="s">
        <v>468</v>
      </c>
      <c r="F17" s="96"/>
    </row>
    <row r="18" ht="14.25" customHeight="1">
      <c r="A18" s="115" t="s">
        <v>799</v>
      </c>
      <c r="F18" s="96"/>
    </row>
    <row r="19" ht="12.75" customHeight="1">
      <c r="F19" s="96"/>
    </row>
    <row r="20" ht="14.25" customHeight="1">
      <c r="A20" s="95" t="s">
        <v>470</v>
      </c>
      <c r="F20" s="96"/>
    </row>
    <row r="21" ht="14.25" customHeight="1">
      <c r="A21" s="115" t="s">
        <v>1400</v>
      </c>
      <c r="F21" s="96"/>
    </row>
    <row r="22" ht="12.75" customHeight="1">
      <c r="F22" s="96"/>
    </row>
    <row r="23" ht="14.25" customHeight="1">
      <c r="A23" s="95" t="s">
        <v>58</v>
      </c>
      <c r="B23" s="95" t="s">
        <v>37</v>
      </c>
      <c r="C23" s="95" t="s">
        <v>59</v>
      </c>
      <c r="D23" s="95" t="s">
        <v>60</v>
      </c>
      <c r="E23" s="95" t="s">
        <v>472</v>
      </c>
      <c r="F23" s="95" t="s">
        <v>54</v>
      </c>
    </row>
    <row r="24" ht="14.25" customHeight="1">
      <c r="A24" s="108" t="s">
        <v>1397</v>
      </c>
      <c r="B24" s="95"/>
      <c r="C24" s="95"/>
      <c r="D24" s="95"/>
      <c r="E24" s="95"/>
      <c r="F24" s="95"/>
    </row>
    <row r="25" ht="14.25" customHeight="1">
      <c r="A25" s="95" t="s">
        <v>686</v>
      </c>
      <c r="F25" s="96"/>
    </row>
    <row r="26" ht="42.75" customHeight="1">
      <c r="A26" s="95" t="s">
        <v>1401</v>
      </c>
      <c r="B26" s="95" t="s">
        <v>263</v>
      </c>
      <c r="C26" s="99" t="s">
        <v>264</v>
      </c>
      <c r="D26" s="96">
        <v>0.0</v>
      </c>
      <c r="E26" s="95" t="s">
        <v>1402</v>
      </c>
      <c r="F26" s="127" t="s">
        <v>1403</v>
      </c>
    </row>
    <row r="27" ht="28.5" customHeight="1">
      <c r="A27" s="95" t="s">
        <v>1404</v>
      </c>
      <c r="B27" s="95" t="s">
        <v>263</v>
      </c>
      <c r="C27" s="99" t="s">
        <v>264</v>
      </c>
      <c r="D27" s="96">
        <v>0.0</v>
      </c>
      <c r="E27" s="95" t="s">
        <v>1405</v>
      </c>
      <c r="F27" s="127" t="s">
        <v>1406</v>
      </c>
    </row>
    <row r="28" ht="42.75" customHeight="1">
      <c r="A28" s="95" t="s">
        <v>1407</v>
      </c>
      <c r="B28" s="95" t="s">
        <v>263</v>
      </c>
      <c r="C28" s="99" t="s">
        <v>264</v>
      </c>
      <c r="D28" s="96">
        <v>0.0</v>
      </c>
      <c r="E28" s="95" t="s">
        <v>254</v>
      </c>
      <c r="F28" s="127" t="s">
        <v>1408</v>
      </c>
    </row>
    <row r="29" ht="42.75" customHeight="1">
      <c r="A29" s="95" t="s">
        <v>1409</v>
      </c>
      <c r="B29" s="95" t="s">
        <v>263</v>
      </c>
      <c r="C29" s="99" t="s">
        <v>264</v>
      </c>
      <c r="D29" s="96">
        <v>0.0</v>
      </c>
      <c r="E29" s="95" t="s">
        <v>254</v>
      </c>
      <c r="F29" s="127" t="s">
        <v>1410</v>
      </c>
    </row>
    <row r="30" ht="28.5" customHeight="1">
      <c r="A30" s="95" t="s">
        <v>1411</v>
      </c>
      <c r="B30" s="95" t="s">
        <v>321</v>
      </c>
      <c r="C30" s="99" t="s">
        <v>264</v>
      </c>
      <c r="D30" s="96">
        <v>2.0</v>
      </c>
      <c r="E30" s="95" t="s">
        <v>254</v>
      </c>
      <c r="F30" s="127" t="s">
        <v>1412</v>
      </c>
    </row>
    <row r="31" ht="57.0" customHeight="1">
      <c r="A31" s="95" t="s">
        <v>1413</v>
      </c>
      <c r="B31" s="95" t="s">
        <v>263</v>
      </c>
      <c r="C31" s="99" t="s">
        <v>264</v>
      </c>
      <c r="D31" s="96">
        <v>0.0</v>
      </c>
      <c r="E31" s="95" t="s">
        <v>254</v>
      </c>
      <c r="F31" s="127" t="s">
        <v>1414</v>
      </c>
    </row>
    <row r="32" ht="42.75" customHeight="1">
      <c r="A32" s="95" t="s">
        <v>1415</v>
      </c>
      <c r="B32" s="95" t="s">
        <v>263</v>
      </c>
      <c r="C32" s="99" t="s">
        <v>264</v>
      </c>
      <c r="D32" s="96">
        <v>0.0</v>
      </c>
      <c r="E32" s="95" t="s">
        <v>254</v>
      </c>
      <c r="F32" s="127" t="s">
        <v>1416</v>
      </c>
    </row>
    <row r="33" ht="85.5" customHeight="1">
      <c r="A33" s="95" t="s">
        <v>1417</v>
      </c>
      <c r="B33" s="95" t="s">
        <v>263</v>
      </c>
      <c r="C33" s="99" t="s">
        <v>264</v>
      </c>
      <c r="D33" s="96">
        <v>0.0</v>
      </c>
      <c r="E33" s="95" t="s">
        <v>254</v>
      </c>
      <c r="F33" s="127" t="s">
        <v>1418</v>
      </c>
    </row>
    <row r="34" ht="57.0" customHeight="1">
      <c r="A34" s="95" t="s">
        <v>1419</v>
      </c>
      <c r="B34" s="95" t="s">
        <v>916</v>
      </c>
      <c r="C34" s="99" t="s">
        <v>264</v>
      </c>
      <c r="D34" s="96">
        <v>0.0</v>
      </c>
      <c r="E34" s="95" t="s">
        <v>254</v>
      </c>
      <c r="F34" s="127" t="s">
        <v>1420</v>
      </c>
    </row>
    <row r="35" ht="28.5" customHeight="1">
      <c r="A35" s="95" t="s">
        <v>1421</v>
      </c>
      <c r="B35" s="95" t="s">
        <v>263</v>
      </c>
      <c r="C35" s="99" t="s">
        <v>264</v>
      </c>
      <c r="D35" s="96">
        <v>0.0</v>
      </c>
      <c r="E35" s="95" t="s">
        <v>254</v>
      </c>
      <c r="F35" s="127" t="s">
        <v>1422</v>
      </c>
    </row>
    <row r="36" ht="57.0" customHeight="1">
      <c r="A36" s="95" t="s">
        <v>1423</v>
      </c>
      <c r="B36" s="95" t="s">
        <v>263</v>
      </c>
      <c r="C36" s="99" t="s">
        <v>264</v>
      </c>
      <c r="D36" s="96">
        <v>0.0</v>
      </c>
      <c r="E36" s="95" t="s">
        <v>254</v>
      </c>
      <c r="F36" s="127" t="s">
        <v>1424</v>
      </c>
    </row>
    <row r="37" ht="57.0" customHeight="1">
      <c r="A37" s="95" t="s">
        <v>1425</v>
      </c>
      <c r="B37" s="95" t="s">
        <v>263</v>
      </c>
      <c r="C37" s="99" t="s">
        <v>264</v>
      </c>
      <c r="D37" s="96">
        <v>0.0</v>
      </c>
      <c r="E37" s="95" t="s">
        <v>254</v>
      </c>
      <c r="F37" s="127" t="s">
        <v>1426</v>
      </c>
    </row>
    <row r="38" ht="14.25" customHeight="1">
      <c r="A38" s="95" t="s">
        <v>1427</v>
      </c>
      <c r="F38" s="96"/>
    </row>
    <row r="39" ht="114.0" customHeight="1">
      <c r="A39" s="95" t="s">
        <v>1428</v>
      </c>
      <c r="B39" s="95" t="s">
        <v>263</v>
      </c>
      <c r="C39" s="99" t="s">
        <v>264</v>
      </c>
      <c r="D39" s="96">
        <v>0.0</v>
      </c>
      <c r="E39" s="95" t="s">
        <v>1429</v>
      </c>
      <c r="F39" s="127" t="s">
        <v>1430</v>
      </c>
    </row>
    <row r="40" ht="42.75" customHeight="1">
      <c r="A40" s="95" t="s">
        <v>1431</v>
      </c>
      <c r="B40" s="95" t="s">
        <v>263</v>
      </c>
      <c r="C40" s="99" t="s">
        <v>264</v>
      </c>
      <c r="D40" s="96">
        <v>0.0</v>
      </c>
      <c r="E40" s="95" t="s">
        <v>1432</v>
      </c>
      <c r="F40" s="127" t="s">
        <v>1433</v>
      </c>
    </row>
    <row r="41" ht="71.25" customHeight="1">
      <c r="A41" s="95" t="s">
        <v>1434</v>
      </c>
      <c r="B41" s="95" t="s">
        <v>263</v>
      </c>
      <c r="C41" s="99" t="s">
        <v>264</v>
      </c>
      <c r="D41" s="96">
        <v>0.0</v>
      </c>
      <c r="E41" s="95" t="s">
        <v>1435</v>
      </c>
      <c r="F41" s="127" t="s">
        <v>1436</v>
      </c>
    </row>
    <row r="42" ht="57.0" customHeight="1">
      <c r="A42" s="95" t="s">
        <v>1437</v>
      </c>
      <c r="B42" s="95" t="s">
        <v>263</v>
      </c>
      <c r="C42" s="99" t="s">
        <v>264</v>
      </c>
      <c r="D42" s="96">
        <v>0.0</v>
      </c>
      <c r="E42" s="95" t="s">
        <v>1438</v>
      </c>
      <c r="F42" s="127" t="s">
        <v>1439</v>
      </c>
    </row>
    <row r="43" ht="57.0" customHeight="1">
      <c r="A43" s="95" t="s">
        <v>1440</v>
      </c>
      <c r="B43" s="95" t="s">
        <v>263</v>
      </c>
      <c r="C43" s="99" t="s">
        <v>264</v>
      </c>
      <c r="D43" s="96">
        <v>0.0</v>
      </c>
      <c r="E43" s="95" t="s">
        <v>1441</v>
      </c>
      <c r="F43" s="127" t="s">
        <v>1442</v>
      </c>
    </row>
    <row r="44" ht="57.0" customHeight="1">
      <c r="A44" s="95" t="s">
        <v>1443</v>
      </c>
      <c r="B44" s="95" t="s">
        <v>263</v>
      </c>
      <c r="C44" s="99" t="s">
        <v>264</v>
      </c>
      <c r="D44" s="96">
        <v>0.0</v>
      </c>
      <c r="E44" s="95" t="s">
        <v>1444</v>
      </c>
      <c r="F44" s="127" t="s">
        <v>1445</v>
      </c>
    </row>
    <row r="45" ht="57.0" customHeight="1">
      <c r="A45" s="95" t="s">
        <v>1446</v>
      </c>
      <c r="B45" s="95" t="s">
        <v>263</v>
      </c>
      <c r="C45" s="99" t="s">
        <v>264</v>
      </c>
      <c r="D45" s="96">
        <v>0.0</v>
      </c>
      <c r="E45" s="95" t="s">
        <v>1447</v>
      </c>
      <c r="F45" s="127" t="s">
        <v>1448</v>
      </c>
    </row>
    <row r="46" ht="28.5" customHeight="1">
      <c r="A46" s="95" t="s">
        <v>1449</v>
      </c>
      <c r="B46" s="95" t="s">
        <v>252</v>
      </c>
      <c r="C46" s="99" t="s">
        <v>264</v>
      </c>
      <c r="D46" s="96">
        <v>0.0</v>
      </c>
      <c r="E46" s="95" t="s">
        <v>1450</v>
      </c>
      <c r="F46" s="127" t="s">
        <v>1451</v>
      </c>
    </row>
    <row r="47" ht="57.0" customHeight="1">
      <c r="A47" s="95" t="s">
        <v>1452</v>
      </c>
      <c r="B47" s="95" t="s">
        <v>263</v>
      </c>
      <c r="C47" s="99" t="s">
        <v>264</v>
      </c>
      <c r="D47" s="96">
        <v>0.0</v>
      </c>
      <c r="E47" s="95" t="s">
        <v>1453</v>
      </c>
      <c r="F47" s="127" t="s">
        <v>1454</v>
      </c>
    </row>
    <row r="48" ht="42.75" customHeight="1">
      <c r="A48" s="95" t="s">
        <v>1455</v>
      </c>
      <c r="B48" s="95" t="s">
        <v>321</v>
      </c>
      <c r="C48" s="99" t="s">
        <v>264</v>
      </c>
      <c r="D48" s="96">
        <v>2.0</v>
      </c>
      <c r="E48" s="95" t="s">
        <v>1453</v>
      </c>
      <c r="F48" s="127" t="s">
        <v>1456</v>
      </c>
    </row>
    <row r="49" ht="12.75" customHeight="1">
      <c r="F49" s="96"/>
    </row>
    <row r="50" ht="12.75" customHeight="1">
      <c r="F50" s="96"/>
    </row>
    <row r="51" ht="12.75" customHeight="1">
      <c r="F51" s="96"/>
    </row>
    <row r="52" ht="12.75" customHeight="1">
      <c r="F52" s="96"/>
    </row>
    <row r="53" ht="12.75" customHeight="1">
      <c r="F53" s="96"/>
    </row>
    <row r="54" ht="12.75" customHeight="1">
      <c r="F54" s="96"/>
    </row>
    <row r="55" ht="12.75" customHeight="1">
      <c r="F55" s="96"/>
    </row>
    <row r="56" ht="12.75" customHeight="1">
      <c r="F56" s="96"/>
    </row>
    <row r="57" ht="12.75" customHeight="1">
      <c r="F57" s="96"/>
    </row>
    <row r="58" ht="12.75" customHeight="1">
      <c r="F58" s="96"/>
    </row>
    <row r="59" ht="12.75" customHeight="1">
      <c r="F59" s="96"/>
    </row>
    <row r="60" ht="12.75" customHeight="1">
      <c r="F60" s="96"/>
    </row>
    <row r="61" ht="12.75" customHeight="1">
      <c r="F61" s="96"/>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64.25"/>
    <col customWidth="1" min="7" max="26" width="7.63"/>
  </cols>
  <sheetData>
    <row r="1" ht="14.25" customHeight="1">
      <c r="A1" s="95" t="s">
        <v>1457</v>
      </c>
      <c r="F1" s="96"/>
    </row>
    <row r="2" ht="14.25" customHeight="1">
      <c r="A2" s="95" t="s">
        <v>1458</v>
      </c>
      <c r="F2" s="96"/>
    </row>
    <row r="3" ht="14.25" customHeight="1">
      <c r="A3" s="95" t="s">
        <v>33</v>
      </c>
      <c r="B3" s="95" t="s">
        <v>38</v>
      </c>
      <c r="C3" s="95" t="s">
        <v>42</v>
      </c>
      <c r="D3" s="95" t="s">
        <v>48</v>
      </c>
      <c r="F3" s="96"/>
    </row>
    <row r="4" ht="12.75" customHeight="1">
      <c r="A4" s="113">
        <v>3.0</v>
      </c>
      <c r="B4" s="113">
        <v>3.0</v>
      </c>
      <c r="C4" s="113">
        <v>3.0</v>
      </c>
      <c r="D4" s="113">
        <v>3.0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1.0</v>
      </c>
      <c r="C8" s="114">
        <v>2.0</v>
      </c>
      <c r="D8" s="114">
        <v>3.0</v>
      </c>
      <c r="E8" s="114">
        <v>4.0</v>
      </c>
      <c r="F8" s="114">
        <v>5.0</v>
      </c>
      <c r="G8" s="114">
        <v>6.0</v>
      </c>
      <c r="H8" s="114">
        <v>7.0</v>
      </c>
      <c r="I8" s="114">
        <v>8.0</v>
      </c>
      <c r="J8" s="114">
        <v>9.0</v>
      </c>
      <c r="K8" s="114">
        <v>10.0</v>
      </c>
    </row>
    <row r="9" ht="12.75" customHeight="1">
      <c r="A9" s="106" t="s">
        <v>17</v>
      </c>
      <c r="B9" s="114">
        <v>1.0</v>
      </c>
      <c r="C9" s="114">
        <v>2.0</v>
      </c>
      <c r="D9" s="114">
        <v>3.0</v>
      </c>
      <c r="E9" s="114">
        <v>4.0</v>
      </c>
      <c r="F9" s="114">
        <v>5.0</v>
      </c>
      <c r="G9" s="114">
        <v>6.0</v>
      </c>
      <c r="H9" s="114">
        <v>7.0</v>
      </c>
      <c r="I9" s="114">
        <v>8.0</v>
      </c>
      <c r="J9" s="114">
        <v>9.0</v>
      </c>
      <c r="K9" s="96">
        <v>10.0</v>
      </c>
    </row>
    <row r="10" ht="12.75" customHeight="1">
      <c r="A10" s="106" t="s">
        <v>22</v>
      </c>
      <c r="B10" s="114">
        <v>1.0</v>
      </c>
      <c r="C10" s="114">
        <v>2.0</v>
      </c>
      <c r="D10" s="114">
        <v>3.0</v>
      </c>
      <c r="E10" s="114">
        <v>4.0</v>
      </c>
      <c r="F10" s="114">
        <v>5.0</v>
      </c>
      <c r="G10" s="114">
        <v>6.0</v>
      </c>
      <c r="H10" s="114">
        <v>7.0</v>
      </c>
      <c r="I10" s="114">
        <v>8.0</v>
      </c>
      <c r="J10" s="114">
        <v>9.0</v>
      </c>
      <c r="K10" s="96">
        <v>10.0</v>
      </c>
    </row>
    <row r="11" ht="12.75" customHeight="1">
      <c r="A11" s="106" t="s">
        <v>27</v>
      </c>
      <c r="B11" s="114">
        <v>1.0</v>
      </c>
      <c r="C11" s="114">
        <v>2.0</v>
      </c>
      <c r="D11" s="114">
        <v>3.0</v>
      </c>
      <c r="E11" s="114">
        <v>4.0</v>
      </c>
      <c r="F11" s="114">
        <v>5.0</v>
      </c>
      <c r="G11" s="114">
        <v>6.0</v>
      </c>
      <c r="H11" s="114">
        <v>7.0</v>
      </c>
      <c r="I11" s="114">
        <v>8.0</v>
      </c>
      <c r="J11" s="114">
        <v>9.0</v>
      </c>
      <c r="K11" s="96">
        <v>10.0</v>
      </c>
    </row>
    <row r="12" ht="12.75" customHeight="1">
      <c r="A12" s="106" t="s">
        <v>31</v>
      </c>
      <c r="B12" s="114">
        <v>-10.0</v>
      </c>
      <c r="C12" s="114">
        <v>-5.0</v>
      </c>
      <c r="D12" s="114">
        <v>0.0</v>
      </c>
      <c r="E12" s="114">
        <v>2.0</v>
      </c>
      <c r="F12" s="114">
        <v>4.0</v>
      </c>
      <c r="G12" s="114">
        <v>6.0</v>
      </c>
      <c r="H12" s="114">
        <v>8.0</v>
      </c>
      <c r="I12" s="114">
        <v>10.0</v>
      </c>
      <c r="J12" s="114">
        <v>12.0</v>
      </c>
      <c r="K12" s="96">
        <v>14.0</v>
      </c>
    </row>
    <row r="13" ht="12.75" customHeight="1">
      <c r="A13" s="106" t="s">
        <v>35</v>
      </c>
      <c r="B13" s="114">
        <v>-10.0</v>
      </c>
      <c r="C13" s="114">
        <v>-5.0</v>
      </c>
      <c r="D13" s="114">
        <v>0.0</v>
      </c>
      <c r="E13" s="114">
        <v>2.0</v>
      </c>
      <c r="F13" s="114">
        <v>4.0</v>
      </c>
      <c r="G13" s="114">
        <v>6.0</v>
      </c>
      <c r="H13" s="114">
        <v>8.0</v>
      </c>
      <c r="I13" s="114">
        <v>10.0</v>
      </c>
      <c r="J13" s="114">
        <v>12.0</v>
      </c>
      <c r="K13" s="96">
        <v>14.0</v>
      </c>
    </row>
    <row r="14" ht="12.75" customHeight="1">
      <c r="A14" s="106" t="s">
        <v>40</v>
      </c>
      <c r="B14" s="114">
        <v>0.0</v>
      </c>
      <c r="C14" s="114">
        <v>0.0</v>
      </c>
      <c r="D14" s="114">
        <v>0.0</v>
      </c>
      <c r="E14" s="114">
        <v>0.0</v>
      </c>
      <c r="F14" s="114">
        <v>0.0</v>
      </c>
      <c r="G14" s="114">
        <v>0.0</v>
      </c>
      <c r="H14" s="114">
        <v>0.0</v>
      </c>
      <c r="I14" s="114">
        <v>0.0</v>
      </c>
      <c r="J14" s="114">
        <v>0.0</v>
      </c>
      <c r="K14" s="96">
        <v>0.0</v>
      </c>
    </row>
    <row r="15" ht="12.75" customHeight="1">
      <c r="F15" s="96"/>
    </row>
    <row r="16" ht="14.25" customHeight="1">
      <c r="A16" s="95" t="s">
        <v>1459</v>
      </c>
      <c r="F16" s="96"/>
    </row>
    <row r="17" ht="14.25" customHeight="1">
      <c r="A17" s="95" t="s">
        <v>468</v>
      </c>
      <c r="F17" s="96"/>
    </row>
    <row r="18" ht="14.25" customHeight="1">
      <c r="A18" s="115" t="s">
        <v>1460</v>
      </c>
      <c r="F18" s="96"/>
    </row>
    <row r="19" ht="12.75" customHeight="1">
      <c r="F19" s="96"/>
    </row>
    <row r="20" ht="14.25" customHeight="1">
      <c r="A20" s="95" t="s">
        <v>470</v>
      </c>
      <c r="F20" s="96"/>
    </row>
    <row r="21" ht="14.25" customHeight="1">
      <c r="A21" s="115" t="s">
        <v>577</v>
      </c>
      <c r="F21" s="96"/>
    </row>
    <row r="22" ht="12.75" customHeight="1">
      <c r="F22" s="96"/>
    </row>
    <row r="23" ht="14.25" customHeight="1">
      <c r="A23" s="95" t="s">
        <v>58</v>
      </c>
      <c r="B23" s="95" t="s">
        <v>37</v>
      </c>
      <c r="C23" s="95" t="s">
        <v>59</v>
      </c>
      <c r="D23" s="95" t="s">
        <v>60</v>
      </c>
      <c r="E23" s="95" t="s">
        <v>472</v>
      </c>
      <c r="F23" s="95" t="s">
        <v>54</v>
      </c>
    </row>
    <row r="24" ht="14.25" customHeight="1">
      <c r="A24" s="108" t="s">
        <v>1457</v>
      </c>
      <c r="B24" s="95"/>
      <c r="C24" s="95"/>
      <c r="D24" s="95"/>
      <c r="E24" s="95"/>
      <c r="F24" s="95"/>
    </row>
    <row r="25" ht="14.25" customHeight="1">
      <c r="A25" s="95" t="s">
        <v>686</v>
      </c>
      <c r="F25" s="96"/>
    </row>
    <row r="26" ht="253.5" customHeight="1">
      <c r="A26" s="95" t="s">
        <v>1461</v>
      </c>
      <c r="B26" s="95" t="s">
        <v>263</v>
      </c>
      <c r="C26" s="99" t="s">
        <v>264</v>
      </c>
      <c r="D26" s="96">
        <v>0.0</v>
      </c>
      <c r="E26" s="95" t="s">
        <v>254</v>
      </c>
      <c r="F26" s="127" t="s">
        <v>1462</v>
      </c>
    </row>
    <row r="27" ht="14.25" customHeight="1">
      <c r="A27" s="95" t="s">
        <v>1463</v>
      </c>
      <c r="B27" s="95" t="s">
        <v>263</v>
      </c>
      <c r="C27" s="99" t="s">
        <v>264</v>
      </c>
      <c r="D27" s="96">
        <v>0.0</v>
      </c>
      <c r="E27" s="95" t="s">
        <v>1464</v>
      </c>
      <c r="F27" s="95" t="s">
        <v>1465</v>
      </c>
    </row>
    <row r="28" ht="14.25" customHeight="1">
      <c r="A28" s="95" t="s">
        <v>1466</v>
      </c>
      <c r="B28" s="95" t="s">
        <v>263</v>
      </c>
      <c r="C28" s="99" t="s">
        <v>264</v>
      </c>
      <c r="D28" s="96">
        <v>0.0</v>
      </c>
      <c r="E28" s="95" t="s">
        <v>1464</v>
      </c>
      <c r="F28" s="95" t="s">
        <v>1467</v>
      </c>
    </row>
    <row r="29" ht="14.25" customHeight="1">
      <c r="A29" s="95" t="s">
        <v>1468</v>
      </c>
      <c r="B29" s="95" t="s">
        <v>263</v>
      </c>
      <c r="C29" s="99" t="s">
        <v>264</v>
      </c>
      <c r="D29" s="96">
        <v>0.0</v>
      </c>
      <c r="E29" s="95" t="s">
        <v>1464</v>
      </c>
      <c r="F29" s="95" t="s">
        <v>1469</v>
      </c>
    </row>
    <row r="30" ht="28.5" customHeight="1">
      <c r="A30" s="95" t="s">
        <v>815</v>
      </c>
      <c r="B30" s="95" t="s">
        <v>1470</v>
      </c>
      <c r="C30" s="95" t="s">
        <v>1471</v>
      </c>
      <c r="D30" s="96">
        <v>0.0</v>
      </c>
      <c r="E30" s="95" t="s">
        <v>1472</v>
      </c>
      <c r="F30" s="127" t="s">
        <v>1473</v>
      </c>
    </row>
    <row r="31" ht="28.5" customHeight="1">
      <c r="A31" s="95" t="s">
        <v>1474</v>
      </c>
      <c r="B31" s="95" t="s">
        <v>1475</v>
      </c>
      <c r="C31" s="95" t="s">
        <v>1476</v>
      </c>
      <c r="D31" s="96">
        <v>0.0</v>
      </c>
      <c r="E31" s="95" t="s">
        <v>1472</v>
      </c>
      <c r="F31" s="127" t="s">
        <v>1477</v>
      </c>
    </row>
    <row r="32" ht="14.25" customHeight="1">
      <c r="A32" s="95" t="s">
        <v>1478</v>
      </c>
      <c r="B32" s="95" t="s">
        <v>321</v>
      </c>
      <c r="C32" s="95" t="s">
        <v>516</v>
      </c>
      <c r="D32" s="96">
        <v>0.0</v>
      </c>
      <c r="E32" s="95" t="s">
        <v>1472</v>
      </c>
      <c r="F32" s="95" t="s">
        <v>1479</v>
      </c>
    </row>
    <row r="33" ht="14.25" customHeight="1">
      <c r="A33" s="95" t="s">
        <v>1480</v>
      </c>
      <c r="B33" s="95" t="s">
        <v>321</v>
      </c>
      <c r="C33" s="99" t="s">
        <v>264</v>
      </c>
      <c r="D33" s="96">
        <v>0.0</v>
      </c>
      <c r="E33" s="95" t="s">
        <v>1464</v>
      </c>
      <c r="F33" s="95" t="s">
        <v>1481</v>
      </c>
    </row>
    <row r="34" ht="42.75" customHeight="1">
      <c r="A34" s="95" t="s">
        <v>1482</v>
      </c>
      <c r="B34" s="95" t="s">
        <v>252</v>
      </c>
      <c r="C34" s="95" t="s">
        <v>1483</v>
      </c>
      <c r="D34" s="96">
        <v>0.0</v>
      </c>
      <c r="E34" s="95" t="s">
        <v>1464</v>
      </c>
      <c r="F34" s="127" t="s">
        <v>1484</v>
      </c>
    </row>
    <row r="35" ht="14.25" customHeight="1">
      <c r="A35" s="95" t="s">
        <v>1485</v>
      </c>
      <c r="B35" s="95" t="s">
        <v>263</v>
      </c>
      <c r="C35" s="99" t="s">
        <v>264</v>
      </c>
      <c r="D35" s="96">
        <v>0.0</v>
      </c>
      <c r="E35" s="95" t="s">
        <v>1464</v>
      </c>
      <c r="F35" s="95" t="s">
        <v>1486</v>
      </c>
    </row>
    <row r="36" ht="14.25" customHeight="1">
      <c r="A36" s="95" t="s">
        <v>1487</v>
      </c>
      <c r="B36" s="95" t="s">
        <v>263</v>
      </c>
      <c r="C36" s="99" t="s">
        <v>264</v>
      </c>
      <c r="D36" s="96">
        <v>0.0</v>
      </c>
      <c r="E36" s="95" t="s">
        <v>1464</v>
      </c>
      <c r="F36" s="95" t="s">
        <v>1488</v>
      </c>
    </row>
    <row r="37" ht="71.25" customHeight="1">
      <c r="A37" s="95" t="s">
        <v>52</v>
      </c>
      <c r="B37" s="95" t="s">
        <v>263</v>
      </c>
      <c r="C37" s="99" t="s">
        <v>264</v>
      </c>
      <c r="D37" s="96">
        <v>0.0</v>
      </c>
      <c r="E37" s="95" t="s">
        <v>1489</v>
      </c>
      <c r="F37" s="127" t="s">
        <v>1490</v>
      </c>
    </row>
    <row r="38" ht="14.25" customHeight="1">
      <c r="A38" s="95" t="s">
        <v>1491</v>
      </c>
      <c r="B38" s="95" t="s">
        <v>1309</v>
      </c>
      <c r="C38" s="95" t="s">
        <v>1492</v>
      </c>
      <c r="D38" s="96">
        <v>0.0</v>
      </c>
      <c r="E38" s="95" t="s">
        <v>1472</v>
      </c>
      <c r="F38" s="95" t="s">
        <v>1493</v>
      </c>
    </row>
    <row r="39" ht="28.5" customHeight="1">
      <c r="A39" s="95" t="s">
        <v>1494</v>
      </c>
      <c r="B39" s="95" t="s">
        <v>1495</v>
      </c>
      <c r="C39" s="95" t="s">
        <v>1496</v>
      </c>
      <c r="D39" s="96">
        <v>0.0</v>
      </c>
      <c r="E39" s="95" t="s">
        <v>1497</v>
      </c>
      <c r="F39" s="127" t="s">
        <v>1498</v>
      </c>
    </row>
    <row r="40" ht="57.0" customHeight="1">
      <c r="A40" s="95" t="s">
        <v>1499</v>
      </c>
      <c r="B40" s="95" t="s">
        <v>321</v>
      </c>
      <c r="C40" s="95" t="s">
        <v>1500</v>
      </c>
      <c r="D40" s="96">
        <v>0.0</v>
      </c>
      <c r="E40" s="95" t="s">
        <v>1501</v>
      </c>
      <c r="F40" s="127" t="s">
        <v>1502</v>
      </c>
    </row>
    <row r="41" ht="57.0" customHeight="1">
      <c r="A41" s="95" t="s">
        <v>1503</v>
      </c>
      <c r="B41" s="95" t="s">
        <v>263</v>
      </c>
      <c r="C41" s="99" t="s">
        <v>264</v>
      </c>
      <c r="D41" s="96">
        <v>0.0</v>
      </c>
      <c r="E41" s="95" t="s">
        <v>1501</v>
      </c>
      <c r="F41" s="127" t="s">
        <v>1504</v>
      </c>
    </row>
    <row r="42" ht="12.75" customHeight="1">
      <c r="F42" s="96"/>
    </row>
    <row r="43" ht="12.75" customHeight="1">
      <c r="F43" s="96"/>
    </row>
    <row r="44" ht="12.75" customHeight="1">
      <c r="F44" s="96"/>
    </row>
    <row r="45" ht="12.75" customHeight="1">
      <c r="F45" s="96"/>
    </row>
    <row r="46" ht="12.75" customHeight="1">
      <c r="F46" s="96"/>
    </row>
    <row r="47" ht="12.75" customHeight="1">
      <c r="F47" s="96"/>
    </row>
    <row r="48" ht="12.75" customHeight="1">
      <c r="F48" s="96"/>
    </row>
    <row r="49" ht="12.75" customHeight="1">
      <c r="F49" s="96"/>
    </row>
    <row r="50" ht="12.75" customHeight="1">
      <c r="F50" s="96"/>
    </row>
    <row r="51" ht="12.75" customHeight="1">
      <c r="F51" s="96"/>
    </row>
    <row r="52" ht="12.75" customHeight="1">
      <c r="F52" s="96"/>
    </row>
    <row r="53" ht="12.75" customHeight="1">
      <c r="F53" s="96"/>
    </row>
    <row r="54" ht="12.75" customHeight="1">
      <c r="F54" s="96"/>
    </row>
    <row r="55" ht="12.75" customHeight="1">
      <c r="F55" s="96"/>
    </row>
    <row r="56" ht="12.75" customHeight="1">
      <c r="F56" s="96"/>
    </row>
    <row r="57" ht="12.75" customHeight="1">
      <c r="F57" s="96"/>
    </row>
    <row r="58" ht="12.75" customHeight="1">
      <c r="F58" s="96"/>
    </row>
    <row r="59" ht="12.75" customHeight="1">
      <c r="F59" s="96"/>
    </row>
    <row r="60" ht="12.75" customHeight="1">
      <c r="F60" s="96"/>
    </row>
    <row r="61" ht="12.75" customHeight="1">
      <c r="F61" s="96"/>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90.88"/>
    <col customWidth="1" min="7" max="26" width="7.63"/>
  </cols>
  <sheetData>
    <row r="1" ht="14.25" customHeight="1">
      <c r="A1" s="95" t="s">
        <v>1505</v>
      </c>
      <c r="F1" s="96"/>
    </row>
    <row r="2" ht="14.25" customHeight="1">
      <c r="A2" s="95" t="s">
        <v>1506</v>
      </c>
      <c r="F2" s="96"/>
    </row>
    <row r="3" ht="14.25" customHeight="1">
      <c r="A3" s="95" t="s">
        <v>33</v>
      </c>
      <c r="B3" s="95" t="s">
        <v>38</v>
      </c>
      <c r="C3" s="95" t="s">
        <v>42</v>
      </c>
      <c r="D3" s="95" t="s">
        <v>48</v>
      </c>
      <c r="F3" s="96"/>
    </row>
    <row r="4" ht="12.75" customHeight="1">
      <c r="A4" s="113">
        <v>2.0</v>
      </c>
      <c r="B4" s="113">
        <v>4.0</v>
      </c>
      <c r="C4" s="113">
        <v>2.0</v>
      </c>
      <c r="D4" s="113">
        <v>4.0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-1.0</v>
      </c>
      <c r="C8" s="114">
        <v>0.0</v>
      </c>
      <c r="D8" s="114">
        <v>1.0</v>
      </c>
      <c r="E8" s="114">
        <v>3.0</v>
      </c>
      <c r="F8" s="114">
        <v>5.0</v>
      </c>
      <c r="G8" s="114">
        <v>7.0</v>
      </c>
      <c r="H8" s="114">
        <v>9.0</v>
      </c>
      <c r="I8" s="114">
        <v>10.0</v>
      </c>
      <c r="J8" s="114">
        <v>11.0</v>
      </c>
      <c r="K8" s="114">
        <v>12.0</v>
      </c>
    </row>
    <row r="9" ht="12.75" customHeight="1">
      <c r="A9" s="106" t="s">
        <v>17</v>
      </c>
      <c r="B9" s="114">
        <v>0.0</v>
      </c>
      <c r="C9" s="114">
        <v>0.0</v>
      </c>
      <c r="D9" s="114">
        <v>1.0</v>
      </c>
      <c r="E9" s="114">
        <v>2.0</v>
      </c>
      <c r="F9" s="114">
        <v>3.0</v>
      </c>
      <c r="G9" s="114">
        <v>4.0</v>
      </c>
      <c r="H9" s="114">
        <v>5.0</v>
      </c>
      <c r="I9" s="114">
        <v>6.0</v>
      </c>
      <c r="J9" s="114">
        <v>7.0</v>
      </c>
      <c r="K9" s="96">
        <v>8.0</v>
      </c>
    </row>
    <row r="10" ht="12.75" customHeight="1">
      <c r="A10" s="106" t="s">
        <v>22</v>
      </c>
      <c r="B10" s="114">
        <v>0.0</v>
      </c>
      <c r="C10" s="114">
        <v>0.0</v>
      </c>
      <c r="D10" s="114">
        <v>1.0</v>
      </c>
      <c r="E10" s="114">
        <v>2.0</v>
      </c>
      <c r="F10" s="114">
        <v>3.0</v>
      </c>
      <c r="G10" s="114">
        <v>4.0</v>
      </c>
      <c r="H10" s="114">
        <v>5.0</v>
      </c>
      <c r="I10" s="114">
        <v>6.0</v>
      </c>
      <c r="J10" s="114">
        <v>7.0</v>
      </c>
      <c r="K10" s="96">
        <v>8.0</v>
      </c>
    </row>
    <row r="11" ht="12.75" customHeight="1">
      <c r="A11" s="106" t="s">
        <v>27</v>
      </c>
      <c r="B11" s="114">
        <v>0.0</v>
      </c>
      <c r="C11" s="114">
        <v>1.0</v>
      </c>
      <c r="D11" s="114">
        <v>2.0</v>
      </c>
      <c r="E11" s="114">
        <v>5.0</v>
      </c>
      <c r="F11" s="114">
        <v>8.0</v>
      </c>
      <c r="G11" s="114">
        <v>11.0</v>
      </c>
      <c r="H11" s="114">
        <v>13.0</v>
      </c>
      <c r="I11" s="114">
        <v>14.0</v>
      </c>
      <c r="J11" s="114">
        <v>15.0</v>
      </c>
      <c r="K11" s="96">
        <v>16.0</v>
      </c>
    </row>
    <row r="12" ht="12.75" customHeight="1">
      <c r="A12" s="106" t="s">
        <v>31</v>
      </c>
      <c r="B12" s="114">
        <v>0.0</v>
      </c>
      <c r="C12" s="114">
        <v>3.0</v>
      </c>
      <c r="D12" s="114">
        <v>6.0</v>
      </c>
      <c r="E12" s="114">
        <v>9.0</v>
      </c>
      <c r="F12" s="114">
        <v>16.0</v>
      </c>
      <c r="G12" s="114">
        <v>19.0</v>
      </c>
      <c r="H12" s="114">
        <v>22.0</v>
      </c>
      <c r="I12" s="114">
        <v>25.0</v>
      </c>
      <c r="J12" s="114">
        <v>28.0</v>
      </c>
      <c r="K12" s="96">
        <v>31.0</v>
      </c>
    </row>
    <row r="13" ht="12.75" customHeight="1">
      <c r="A13" s="106" t="s">
        <v>35</v>
      </c>
      <c r="B13" s="114">
        <v>0.0</v>
      </c>
      <c r="C13" s="114">
        <v>3.0</v>
      </c>
      <c r="D13" s="114">
        <v>6.0</v>
      </c>
      <c r="E13" s="114">
        <v>9.0</v>
      </c>
      <c r="F13" s="114">
        <v>12.0</v>
      </c>
      <c r="G13" s="114">
        <v>15.0</v>
      </c>
      <c r="H13" s="114">
        <v>18.0</v>
      </c>
      <c r="I13" s="114">
        <v>21.0</v>
      </c>
      <c r="J13" s="114">
        <v>24.0</v>
      </c>
      <c r="K13" s="96">
        <v>27.0</v>
      </c>
    </row>
    <row r="14" ht="12.75" customHeight="1">
      <c r="A14" s="106" t="s">
        <v>40</v>
      </c>
      <c r="B14" s="114">
        <v>0.0</v>
      </c>
      <c r="C14" s="114">
        <v>0.0</v>
      </c>
      <c r="D14" s="114">
        <v>0.0</v>
      </c>
      <c r="E14" s="114">
        <v>0.0</v>
      </c>
      <c r="F14" s="114">
        <v>1.0</v>
      </c>
      <c r="G14" s="114">
        <v>1.0</v>
      </c>
      <c r="H14" s="114">
        <v>1.0</v>
      </c>
      <c r="I14" s="114">
        <v>1.0</v>
      </c>
      <c r="J14" s="114">
        <v>1.0</v>
      </c>
      <c r="K14" s="96">
        <v>2.0</v>
      </c>
    </row>
    <row r="15" ht="12.75" customHeight="1">
      <c r="F15" s="96"/>
    </row>
    <row r="16" ht="14.25" customHeight="1">
      <c r="A16" s="95" t="s">
        <v>1507</v>
      </c>
      <c r="F16" s="96"/>
    </row>
    <row r="17" ht="14.25" customHeight="1">
      <c r="A17" s="95" t="s">
        <v>468</v>
      </c>
      <c r="F17" s="96"/>
    </row>
    <row r="18" ht="14.25" customHeight="1">
      <c r="A18" s="115" t="s">
        <v>1508</v>
      </c>
      <c r="F18" s="96"/>
    </row>
    <row r="19" ht="12.75" customHeight="1">
      <c r="F19" s="96"/>
    </row>
    <row r="20" ht="14.25" customHeight="1">
      <c r="A20" s="95" t="s">
        <v>470</v>
      </c>
      <c r="F20" s="96"/>
    </row>
    <row r="21" ht="14.25" customHeight="1">
      <c r="A21" s="115" t="s">
        <v>577</v>
      </c>
      <c r="F21" s="96"/>
    </row>
    <row r="22" ht="12.75" customHeight="1">
      <c r="F22" s="96"/>
    </row>
    <row r="23" ht="14.25" customHeight="1">
      <c r="A23" s="95" t="s">
        <v>58</v>
      </c>
      <c r="B23" s="95" t="s">
        <v>37</v>
      </c>
      <c r="C23" s="95" t="s">
        <v>59</v>
      </c>
      <c r="D23" s="95" t="s">
        <v>60</v>
      </c>
      <c r="E23" s="95" t="s">
        <v>472</v>
      </c>
      <c r="F23" s="95" t="s">
        <v>54</v>
      </c>
    </row>
    <row r="24" ht="14.25" customHeight="1">
      <c r="A24" s="108" t="s">
        <v>1505</v>
      </c>
      <c r="B24" s="95"/>
      <c r="C24" s="95"/>
      <c r="D24" s="95"/>
      <c r="E24" s="95"/>
      <c r="F24" s="95"/>
    </row>
    <row r="25" ht="14.25" customHeight="1">
      <c r="A25" s="95" t="s">
        <v>686</v>
      </c>
      <c r="F25" s="96"/>
    </row>
    <row r="26" ht="57.0" customHeight="1">
      <c r="A26" s="95" t="s">
        <v>1509</v>
      </c>
      <c r="B26" s="95" t="s">
        <v>263</v>
      </c>
      <c r="C26" s="99" t="s">
        <v>264</v>
      </c>
      <c r="D26" s="96">
        <v>0.0</v>
      </c>
      <c r="E26" s="95" t="s">
        <v>448</v>
      </c>
      <c r="F26" s="127" t="s">
        <v>1510</v>
      </c>
    </row>
    <row r="27" ht="28.5" customHeight="1">
      <c r="A27" s="95" t="s">
        <v>1511</v>
      </c>
      <c r="B27" s="95" t="s">
        <v>290</v>
      </c>
      <c r="C27" s="95" t="s">
        <v>846</v>
      </c>
      <c r="D27" s="96">
        <v>0.0</v>
      </c>
      <c r="E27" s="95" t="s">
        <v>448</v>
      </c>
      <c r="F27" s="127" t="s">
        <v>1512</v>
      </c>
    </row>
    <row r="28" ht="42.75" customHeight="1">
      <c r="A28" s="95" t="s">
        <v>1513</v>
      </c>
      <c r="B28" s="95" t="s">
        <v>584</v>
      </c>
      <c r="C28" s="99" t="s">
        <v>264</v>
      </c>
      <c r="D28" s="96">
        <v>2.0</v>
      </c>
      <c r="E28" s="95" t="s">
        <v>448</v>
      </c>
      <c r="F28" s="127" t="s">
        <v>1514</v>
      </c>
    </row>
    <row r="29" ht="42.75" customHeight="1">
      <c r="A29" s="95" t="s">
        <v>1515</v>
      </c>
      <c r="B29" s="95" t="s">
        <v>584</v>
      </c>
      <c r="C29" s="99" t="s">
        <v>264</v>
      </c>
      <c r="D29" s="96">
        <v>2.0</v>
      </c>
      <c r="E29" s="95" t="s">
        <v>448</v>
      </c>
      <c r="F29" s="127" t="s">
        <v>1516</v>
      </c>
    </row>
    <row r="30" ht="28.5" customHeight="1">
      <c r="A30" s="95" t="s">
        <v>1517</v>
      </c>
      <c r="B30" s="95" t="s">
        <v>321</v>
      </c>
      <c r="C30" s="95" t="s">
        <v>516</v>
      </c>
      <c r="D30" s="96">
        <v>0.0</v>
      </c>
      <c r="E30" s="95" t="s">
        <v>448</v>
      </c>
      <c r="F30" s="127" t="s">
        <v>1518</v>
      </c>
    </row>
    <row r="31" ht="85.5" customHeight="1">
      <c r="A31" s="95" t="s">
        <v>1519</v>
      </c>
      <c r="B31" s="95" t="s">
        <v>1005</v>
      </c>
      <c r="C31" s="95" t="s">
        <v>1520</v>
      </c>
      <c r="D31" s="96">
        <v>0.0</v>
      </c>
      <c r="E31" s="95" t="s">
        <v>448</v>
      </c>
      <c r="F31" s="127" t="s">
        <v>1521</v>
      </c>
    </row>
    <row r="32" ht="14.25" customHeight="1">
      <c r="A32" s="95" t="s">
        <v>1522</v>
      </c>
      <c r="B32" s="95" t="s">
        <v>1005</v>
      </c>
      <c r="C32" s="95" t="s">
        <v>1523</v>
      </c>
      <c r="D32" s="96">
        <v>0.0</v>
      </c>
      <c r="E32" s="95" t="s">
        <v>448</v>
      </c>
      <c r="F32" s="95" t="s">
        <v>1524</v>
      </c>
    </row>
    <row r="33" ht="57.0" customHeight="1">
      <c r="A33" s="95" t="s">
        <v>1525</v>
      </c>
      <c r="B33" s="95" t="s">
        <v>1005</v>
      </c>
      <c r="C33" s="95" t="s">
        <v>1202</v>
      </c>
      <c r="D33" s="96">
        <v>0.0</v>
      </c>
      <c r="E33" s="95" t="s">
        <v>448</v>
      </c>
      <c r="F33" s="127" t="s">
        <v>1526</v>
      </c>
    </row>
    <row r="34" ht="42.75" customHeight="1">
      <c r="A34" s="95" t="s">
        <v>1527</v>
      </c>
      <c r="B34" s="95" t="s">
        <v>599</v>
      </c>
      <c r="C34" s="95" t="s">
        <v>1528</v>
      </c>
      <c r="D34" s="96">
        <v>0.0</v>
      </c>
      <c r="E34" s="95" t="s">
        <v>448</v>
      </c>
      <c r="F34" s="127" t="s">
        <v>1529</v>
      </c>
    </row>
    <row r="35" ht="28.5" customHeight="1">
      <c r="A35" s="95" t="s">
        <v>1530</v>
      </c>
      <c r="B35" s="95" t="s">
        <v>1531</v>
      </c>
      <c r="C35" s="95" t="s">
        <v>1532</v>
      </c>
      <c r="D35" s="96">
        <v>0.0</v>
      </c>
      <c r="E35" s="95" t="s">
        <v>448</v>
      </c>
      <c r="F35" s="127" t="s">
        <v>1533</v>
      </c>
    </row>
    <row r="36" ht="42.75" customHeight="1">
      <c r="A36" s="95" t="s">
        <v>1534</v>
      </c>
      <c r="B36" s="95" t="s">
        <v>263</v>
      </c>
      <c r="C36" s="99" t="s">
        <v>264</v>
      </c>
      <c r="D36" s="96">
        <v>0.0</v>
      </c>
      <c r="E36" s="95" t="s">
        <v>448</v>
      </c>
      <c r="F36" s="127" t="s">
        <v>1535</v>
      </c>
    </row>
    <row r="37" ht="28.5" customHeight="1">
      <c r="A37" s="95" t="s">
        <v>1536</v>
      </c>
      <c r="B37" s="95" t="s">
        <v>263</v>
      </c>
      <c r="C37" s="99" t="s">
        <v>264</v>
      </c>
      <c r="D37" s="96">
        <v>0.0</v>
      </c>
      <c r="E37" s="95" t="s">
        <v>448</v>
      </c>
      <c r="F37" s="127" t="s">
        <v>1537</v>
      </c>
    </row>
    <row r="38" ht="14.25" customHeight="1">
      <c r="A38" s="95" t="s">
        <v>1538</v>
      </c>
      <c r="F38" s="96"/>
    </row>
    <row r="39" ht="42.75" customHeight="1">
      <c r="A39" s="95" t="s">
        <v>1539</v>
      </c>
      <c r="B39" s="95" t="s">
        <v>1540</v>
      </c>
      <c r="C39" s="95" t="s">
        <v>1541</v>
      </c>
      <c r="D39" s="96">
        <v>0.0</v>
      </c>
      <c r="E39" s="95" t="s">
        <v>1542</v>
      </c>
      <c r="F39" s="127" t="s">
        <v>1543</v>
      </c>
    </row>
    <row r="40" ht="42.75" customHeight="1">
      <c r="A40" s="95" t="s">
        <v>1544</v>
      </c>
      <c r="B40" s="95" t="s">
        <v>321</v>
      </c>
      <c r="C40" s="95" t="s">
        <v>1545</v>
      </c>
      <c r="D40" s="96">
        <v>0.0</v>
      </c>
      <c r="E40" s="95" t="s">
        <v>1546</v>
      </c>
      <c r="F40" s="127" t="s">
        <v>1547</v>
      </c>
    </row>
    <row r="41" ht="57.0" customHeight="1">
      <c r="A41" s="95" t="s">
        <v>1548</v>
      </c>
      <c r="B41" s="95" t="s">
        <v>1348</v>
      </c>
      <c r="C41" s="95" t="s">
        <v>1549</v>
      </c>
      <c r="D41" s="96">
        <v>5.0</v>
      </c>
      <c r="E41" s="95" t="s">
        <v>1550</v>
      </c>
      <c r="F41" s="127" t="s">
        <v>1551</v>
      </c>
    </row>
    <row r="42" ht="57.0" customHeight="1">
      <c r="A42" s="95" t="s">
        <v>1552</v>
      </c>
      <c r="B42" s="95" t="s">
        <v>1348</v>
      </c>
      <c r="C42" s="95" t="s">
        <v>1553</v>
      </c>
      <c r="D42" s="96">
        <v>0.0</v>
      </c>
      <c r="E42" s="95" t="s">
        <v>1554</v>
      </c>
      <c r="F42" s="127" t="s">
        <v>1555</v>
      </c>
    </row>
    <row r="43" ht="28.5" customHeight="1">
      <c r="A43" s="95" t="s">
        <v>1556</v>
      </c>
      <c r="B43" s="95" t="s">
        <v>290</v>
      </c>
      <c r="C43" s="95" t="s">
        <v>1557</v>
      </c>
      <c r="D43" s="96">
        <v>5.0</v>
      </c>
      <c r="E43" s="95" t="s">
        <v>1558</v>
      </c>
      <c r="F43" s="127" t="s">
        <v>1559</v>
      </c>
    </row>
    <row r="44" ht="28.5" customHeight="1">
      <c r="A44" s="95" t="s">
        <v>1560</v>
      </c>
      <c r="B44" s="95" t="s">
        <v>1561</v>
      </c>
      <c r="C44" s="95" t="s">
        <v>1562</v>
      </c>
      <c r="D44" s="96">
        <v>5.0</v>
      </c>
      <c r="E44" s="95" t="s">
        <v>1563</v>
      </c>
      <c r="F44" s="127" t="s">
        <v>1564</v>
      </c>
    </row>
    <row r="45" ht="57.0" customHeight="1">
      <c r="A45" s="95" t="s">
        <v>1565</v>
      </c>
      <c r="B45" s="95" t="s">
        <v>1561</v>
      </c>
      <c r="C45" s="95" t="s">
        <v>1566</v>
      </c>
      <c r="D45" s="96">
        <v>5.0</v>
      </c>
      <c r="E45" s="95" t="s">
        <v>1567</v>
      </c>
      <c r="F45" s="127" t="s">
        <v>1568</v>
      </c>
    </row>
    <row r="46" ht="28.5" customHeight="1">
      <c r="A46" s="95" t="s">
        <v>1569</v>
      </c>
      <c r="B46" s="95" t="s">
        <v>634</v>
      </c>
      <c r="C46" s="95" t="s">
        <v>1570</v>
      </c>
      <c r="D46" s="96">
        <v>0.0</v>
      </c>
      <c r="E46" s="95" t="s">
        <v>1563</v>
      </c>
      <c r="F46" s="127" t="s">
        <v>1571</v>
      </c>
    </row>
    <row r="47" ht="12.75" customHeight="1">
      <c r="F47" s="96"/>
    </row>
    <row r="48" ht="12.75" customHeight="1">
      <c r="F48" s="96"/>
    </row>
    <row r="49" ht="12.75" customHeight="1">
      <c r="F49" s="96"/>
    </row>
    <row r="50" ht="12.75" customHeight="1">
      <c r="F50" s="96"/>
    </row>
    <row r="51" ht="12.75" customHeight="1">
      <c r="F51" s="96"/>
    </row>
    <row r="52" ht="12.75" customHeight="1">
      <c r="F52" s="96"/>
    </row>
    <row r="53" ht="12.75" customHeight="1">
      <c r="F53" s="96"/>
    </row>
    <row r="54" ht="12.75" customHeight="1">
      <c r="F54" s="96"/>
    </row>
    <row r="55" ht="12.75" customHeight="1">
      <c r="F55" s="96"/>
    </row>
    <row r="56" ht="12.75" customHeight="1">
      <c r="F56" s="96"/>
    </row>
    <row r="57" ht="12.75" customHeight="1">
      <c r="F57" s="96"/>
    </row>
    <row r="58" ht="12.75" customHeight="1">
      <c r="F58" s="96"/>
    </row>
    <row r="59" ht="12.75" customHeight="1">
      <c r="F59" s="96"/>
    </row>
    <row r="60" ht="12.75" customHeight="1">
      <c r="F60" s="96"/>
    </row>
    <row r="61" ht="12.75" customHeight="1">
      <c r="F61" s="96"/>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5" width="7.63"/>
    <col customWidth="1" min="6" max="6" width="76.75"/>
    <col customWidth="1" min="7" max="26" width="7.63"/>
  </cols>
  <sheetData>
    <row r="1" ht="14.25" customHeight="1">
      <c r="A1" s="95" t="s">
        <v>1572</v>
      </c>
      <c r="F1" s="96"/>
    </row>
    <row r="2" ht="14.25" customHeight="1">
      <c r="A2" s="95" t="s">
        <v>1573</v>
      </c>
      <c r="F2" s="96"/>
    </row>
    <row r="3" ht="14.25" customHeight="1">
      <c r="A3" s="95" t="s">
        <v>33</v>
      </c>
      <c r="B3" s="95" t="s">
        <v>38</v>
      </c>
      <c r="C3" s="95" t="s">
        <v>42</v>
      </c>
      <c r="D3" s="95" t="s">
        <v>48</v>
      </c>
      <c r="F3" s="96"/>
    </row>
    <row r="4" ht="12.75" customHeight="1">
      <c r="A4" s="113">
        <v>2.0</v>
      </c>
      <c r="B4" s="113">
        <v>5.0</v>
      </c>
      <c r="C4" s="113">
        <v>2.0</v>
      </c>
      <c r="D4" s="113">
        <v>3.0</v>
      </c>
      <c r="F4" s="96"/>
    </row>
    <row r="5" ht="12.75" customHeight="1">
      <c r="F5" s="96"/>
    </row>
    <row r="6" ht="33.0" customHeight="1">
      <c r="A6" s="105" t="s">
        <v>465</v>
      </c>
      <c r="F6" s="96"/>
    </row>
    <row r="7" ht="12.75" customHeight="1">
      <c r="A7" s="106" t="s">
        <v>466</v>
      </c>
      <c r="B7" s="106">
        <v>1.0</v>
      </c>
      <c r="C7" s="106">
        <v>2.0</v>
      </c>
      <c r="D7" s="106">
        <v>3.0</v>
      </c>
      <c r="E7" s="106">
        <v>4.0</v>
      </c>
      <c r="F7" s="106">
        <v>5.0</v>
      </c>
      <c r="G7" s="106">
        <v>6.0</v>
      </c>
      <c r="H7" s="106">
        <v>7.0</v>
      </c>
      <c r="I7" s="106">
        <v>8.0</v>
      </c>
      <c r="J7" s="106">
        <v>9.0</v>
      </c>
      <c r="K7" s="106">
        <v>10.0</v>
      </c>
    </row>
    <row r="8" ht="12.75" customHeight="1">
      <c r="A8" s="106" t="s">
        <v>13</v>
      </c>
      <c r="B8" s="114">
        <v>0.0</v>
      </c>
      <c r="C8" s="114">
        <v>0.0</v>
      </c>
      <c r="D8" s="114">
        <v>0.0</v>
      </c>
      <c r="E8" s="114">
        <v>1.0</v>
      </c>
      <c r="F8" s="114">
        <v>2.0</v>
      </c>
      <c r="G8" s="114">
        <v>2.0</v>
      </c>
      <c r="H8" s="114">
        <v>2.0</v>
      </c>
      <c r="I8" s="114">
        <v>3.0</v>
      </c>
      <c r="J8" s="114">
        <v>3.0</v>
      </c>
      <c r="K8" s="114">
        <v>4.0</v>
      </c>
    </row>
    <row r="9" ht="12.75" customHeight="1">
      <c r="A9" s="106" t="s">
        <v>17</v>
      </c>
      <c r="B9" s="114">
        <v>0.0</v>
      </c>
      <c r="C9" s="114">
        <v>0.0</v>
      </c>
      <c r="D9" s="114">
        <v>3.0</v>
      </c>
      <c r="E9" s="114">
        <v>4.0</v>
      </c>
      <c r="F9" s="114">
        <v>6.0</v>
      </c>
      <c r="G9" s="114">
        <v>9.0</v>
      </c>
      <c r="H9" s="114">
        <v>10.0</v>
      </c>
      <c r="I9" s="114">
        <v>11.0</v>
      </c>
      <c r="J9" s="114">
        <v>12.0</v>
      </c>
      <c r="K9" s="96">
        <v>13.0</v>
      </c>
    </row>
    <row r="10" ht="12.75" customHeight="1">
      <c r="A10" s="106" t="s">
        <v>22</v>
      </c>
      <c r="B10" s="114">
        <v>0.0</v>
      </c>
      <c r="C10" s="114">
        <v>0.0</v>
      </c>
      <c r="D10" s="114">
        <v>0.0</v>
      </c>
      <c r="E10" s="114">
        <v>1.0</v>
      </c>
      <c r="F10" s="114">
        <v>2.0</v>
      </c>
      <c r="G10" s="114">
        <v>3.0</v>
      </c>
      <c r="H10" s="114">
        <v>4.0</v>
      </c>
      <c r="I10" s="114">
        <v>5.0</v>
      </c>
      <c r="J10" s="114">
        <v>6.0</v>
      </c>
      <c r="K10" s="96">
        <v>7.0</v>
      </c>
    </row>
    <row r="11" ht="12.75" customHeight="1">
      <c r="A11" s="106" t="s">
        <v>27</v>
      </c>
      <c r="B11" s="114">
        <v>0.0</v>
      </c>
      <c r="C11" s="114">
        <v>0.0</v>
      </c>
      <c r="D11" s="114">
        <v>0.0</v>
      </c>
      <c r="E11" s="114">
        <v>0.0</v>
      </c>
      <c r="F11" s="114">
        <v>1.0</v>
      </c>
      <c r="G11" s="114">
        <v>2.0</v>
      </c>
      <c r="H11" s="114">
        <v>3.0</v>
      </c>
      <c r="I11" s="114">
        <v>4.0</v>
      </c>
      <c r="J11" s="114">
        <v>5.0</v>
      </c>
      <c r="K11" s="96">
        <v>6.0</v>
      </c>
    </row>
    <row r="12" ht="12.75" customHeight="1">
      <c r="A12" s="106" t="s">
        <v>31</v>
      </c>
      <c r="B12" s="114">
        <v>3.0</v>
      </c>
      <c r="C12" s="114">
        <v>4.0</v>
      </c>
      <c r="D12" s="114">
        <v>5.0</v>
      </c>
      <c r="E12" s="114">
        <v>6.0</v>
      </c>
      <c r="F12" s="114">
        <v>12.0</v>
      </c>
      <c r="G12" s="114">
        <v>14.0</v>
      </c>
      <c r="H12" s="114">
        <v>16.0</v>
      </c>
      <c r="I12" s="114">
        <v>18.0</v>
      </c>
      <c r="J12" s="114">
        <v>20.0</v>
      </c>
      <c r="K12" s="96">
        <v>26.0</v>
      </c>
    </row>
    <row r="13" ht="12.75" customHeight="1">
      <c r="A13" s="106" t="s">
        <v>35</v>
      </c>
      <c r="B13" s="114">
        <v>7.0</v>
      </c>
      <c r="C13" s="114">
        <v>9.0</v>
      </c>
      <c r="D13" s="114">
        <v>11.0</v>
      </c>
      <c r="E13" s="114">
        <v>13.0</v>
      </c>
      <c r="F13" s="114">
        <v>24.0</v>
      </c>
      <c r="G13" s="114">
        <v>26.0</v>
      </c>
      <c r="H13" s="114">
        <v>28.0</v>
      </c>
      <c r="I13" s="114">
        <v>30.0</v>
      </c>
      <c r="J13" s="114">
        <v>32.0</v>
      </c>
      <c r="K13" s="96">
        <v>43.0</v>
      </c>
    </row>
    <row r="14" ht="12.75" customHeight="1">
      <c r="A14" s="106" t="s">
        <v>40</v>
      </c>
      <c r="B14" s="114">
        <v>0.0</v>
      </c>
      <c r="C14" s="114">
        <v>0.0</v>
      </c>
      <c r="D14" s="114">
        <v>0.0</v>
      </c>
      <c r="E14" s="114">
        <v>0.0</v>
      </c>
      <c r="F14" s="114">
        <v>1.0</v>
      </c>
      <c r="G14" s="114">
        <v>1.0</v>
      </c>
      <c r="H14" s="114">
        <v>1.0</v>
      </c>
      <c r="I14" s="114">
        <v>2.0</v>
      </c>
      <c r="J14" s="114">
        <v>2.0</v>
      </c>
      <c r="K14" s="96">
        <v>2.0</v>
      </c>
    </row>
    <row r="15" ht="12.75" customHeight="1">
      <c r="F15" s="96"/>
    </row>
    <row r="16" ht="14.25" customHeight="1">
      <c r="A16" s="95" t="s">
        <v>1574</v>
      </c>
      <c r="F16" s="96"/>
    </row>
    <row r="17" ht="14.25" customHeight="1">
      <c r="A17" s="95" t="s">
        <v>468</v>
      </c>
      <c r="F17" s="96"/>
    </row>
    <row r="18" ht="14.25" customHeight="1">
      <c r="A18" s="115" t="s">
        <v>1575</v>
      </c>
      <c r="F18" s="96"/>
    </row>
    <row r="19" ht="12.75" customHeight="1">
      <c r="F19" s="96"/>
    </row>
    <row r="20" ht="14.25" customHeight="1">
      <c r="A20" s="95" t="s">
        <v>470</v>
      </c>
      <c r="F20" s="96"/>
    </row>
    <row r="21" ht="14.25" customHeight="1">
      <c r="A21" s="115" t="s">
        <v>577</v>
      </c>
      <c r="F21" s="96"/>
    </row>
    <row r="22" ht="12.75" customHeight="1">
      <c r="F22" s="96"/>
    </row>
    <row r="23" ht="14.25" customHeight="1">
      <c r="A23" s="95" t="s">
        <v>58</v>
      </c>
      <c r="B23" s="95" t="s">
        <v>37</v>
      </c>
      <c r="C23" s="95" t="s">
        <v>59</v>
      </c>
      <c r="D23" s="95" t="s">
        <v>60</v>
      </c>
      <c r="E23" s="95" t="s">
        <v>472</v>
      </c>
      <c r="F23" s="95" t="s">
        <v>54</v>
      </c>
    </row>
    <row r="24" ht="14.25" customHeight="1">
      <c r="A24" s="108" t="s">
        <v>1572</v>
      </c>
      <c r="B24" s="95"/>
      <c r="C24" s="95"/>
      <c r="D24" s="95"/>
      <c r="E24" s="95"/>
      <c r="F24" s="95"/>
    </row>
    <row r="25" ht="14.25" customHeight="1">
      <c r="A25" s="95" t="s">
        <v>686</v>
      </c>
      <c r="F25" s="96"/>
    </row>
    <row r="26" ht="71.25" customHeight="1">
      <c r="A26" s="95" t="s">
        <v>1576</v>
      </c>
      <c r="B26" s="95" t="s">
        <v>1577</v>
      </c>
      <c r="C26" s="99" t="s">
        <v>264</v>
      </c>
      <c r="D26" s="96">
        <v>0.0</v>
      </c>
      <c r="E26" s="95" t="s">
        <v>448</v>
      </c>
      <c r="F26" s="127" t="s">
        <v>1578</v>
      </c>
    </row>
    <row r="27" ht="69.75" customHeight="1">
      <c r="A27" s="95" t="s">
        <v>1579</v>
      </c>
      <c r="B27" s="95" t="s">
        <v>1580</v>
      </c>
      <c r="C27" s="99" t="s">
        <v>264</v>
      </c>
      <c r="D27" s="96">
        <v>2.0</v>
      </c>
      <c r="E27" s="95" t="s">
        <v>448</v>
      </c>
      <c r="F27" s="127" t="s">
        <v>1581</v>
      </c>
    </row>
    <row r="28" ht="69.75" customHeight="1">
      <c r="A28" s="95" t="s">
        <v>1582</v>
      </c>
      <c r="B28" s="95" t="s">
        <v>473</v>
      </c>
      <c r="C28" s="99" t="s">
        <v>264</v>
      </c>
      <c r="D28" s="96">
        <v>2.0</v>
      </c>
      <c r="E28" s="95" t="s">
        <v>448</v>
      </c>
      <c r="F28" s="127" t="s">
        <v>1583</v>
      </c>
    </row>
    <row r="29" ht="42.75" customHeight="1">
      <c r="A29" s="95" t="s">
        <v>1584</v>
      </c>
      <c r="B29" s="95" t="s">
        <v>263</v>
      </c>
      <c r="C29" s="99" t="s">
        <v>264</v>
      </c>
      <c r="D29" s="96">
        <v>0.0</v>
      </c>
      <c r="E29" s="95" t="s">
        <v>448</v>
      </c>
      <c r="F29" s="127" t="s">
        <v>1585</v>
      </c>
    </row>
    <row r="30" ht="71.25" customHeight="1">
      <c r="A30" s="95" t="s">
        <v>1586</v>
      </c>
      <c r="B30" s="95" t="s">
        <v>263</v>
      </c>
      <c r="C30" s="99" t="s">
        <v>264</v>
      </c>
      <c r="D30" s="96">
        <v>0.0</v>
      </c>
      <c r="E30" s="95" t="s">
        <v>448</v>
      </c>
      <c r="F30" s="127" t="s">
        <v>1587</v>
      </c>
    </row>
    <row r="31" ht="69.75" customHeight="1">
      <c r="A31" s="95" t="s">
        <v>1588</v>
      </c>
      <c r="B31" s="95" t="s">
        <v>1589</v>
      </c>
      <c r="C31" s="95" t="s">
        <v>1590</v>
      </c>
      <c r="D31" s="96">
        <v>2.0</v>
      </c>
      <c r="E31" s="95" t="s">
        <v>448</v>
      </c>
      <c r="F31" s="127" t="s">
        <v>1591</v>
      </c>
    </row>
    <row r="32" ht="42.75" customHeight="1">
      <c r="A32" s="95" t="s">
        <v>1592</v>
      </c>
      <c r="B32" s="95" t="s">
        <v>1593</v>
      </c>
      <c r="C32" s="95" t="s">
        <v>1594</v>
      </c>
      <c r="D32" s="96">
        <v>0.0</v>
      </c>
      <c r="E32" s="95" t="s">
        <v>448</v>
      </c>
      <c r="F32" s="127" t="s">
        <v>1595</v>
      </c>
    </row>
    <row r="33" ht="42.75" customHeight="1">
      <c r="A33" s="95" t="s">
        <v>1596</v>
      </c>
      <c r="B33" s="95" t="s">
        <v>1309</v>
      </c>
      <c r="C33" s="95" t="s">
        <v>1597</v>
      </c>
      <c r="D33" s="96">
        <v>0.0</v>
      </c>
      <c r="E33" s="95" t="s">
        <v>448</v>
      </c>
      <c r="F33" s="127" t="s">
        <v>1598</v>
      </c>
    </row>
    <row r="34" ht="42.75" customHeight="1">
      <c r="A34" s="95" t="s">
        <v>1599</v>
      </c>
      <c r="B34" s="95" t="s">
        <v>816</v>
      </c>
      <c r="C34" s="95" t="s">
        <v>667</v>
      </c>
      <c r="D34" s="96">
        <v>0.0</v>
      </c>
      <c r="E34" s="95" t="s">
        <v>448</v>
      </c>
      <c r="F34" s="127" t="s">
        <v>1600</v>
      </c>
    </row>
    <row r="35" ht="71.25" customHeight="1">
      <c r="A35" s="95" t="s">
        <v>1601</v>
      </c>
      <c r="B35" s="95" t="s">
        <v>321</v>
      </c>
      <c r="C35" s="95" t="s">
        <v>1602</v>
      </c>
      <c r="D35" s="96">
        <v>0.0</v>
      </c>
      <c r="E35" s="95" t="s">
        <v>448</v>
      </c>
      <c r="F35" s="127" t="s">
        <v>1603</v>
      </c>
    </row>
    <row r="36" ht="57.0" customHeight="1">
      <c r="A36" s="95" t="s">
        <v>1604</v>
      </c>
      <c r="B36" s="95" t="s">
        <v>321</v>
      </c>
      <c r="C36" s="95" t="s">
        <v>639</v>
      </c>
      <c r="D36" s="96">
        <v>0.0</v>
      </c>
      <c r="E36" s="95" t="s">
        <v>448</v>
      </c>
      <c r="F36" s="127" t="s">
        <v>1605</v>
      </c>
    </row>
    <row r="37" ht="85.5" customHeight="1">
      <c r="A37" s="95" t="s">
        <v>1606</v>
      </c>
      <c r="B37" s="95" t="s">
        <v>321</v>
      </c>
      <c r="C37" s="95" t="s">
        <v>1607</v>
      </c>
      <c r="D37" s="95" t="s">
        <v>1608</v>
      </c>
      <c r="E37" s="95" t="s">
        <v>448</v>
      </c>
      <c r="F37" s="127" t="s">
        <v>1609</v>
      </c>
    </row>
    <row r="38" ht="57.0" customHeight="1">
      <c r="A38" s="95" t="s">
        <v>1610</v>
      </c>
      <c r="B38" s="95" t="s">
        <v>321</v>
      </c>
      <c r="C38" s="95" t="s">
        <v>1611</v>
      </c>
      <c r="D38" s="96">
        <v>0.0</v>
      </c>
      <c r="E38" s="95" t="s">
        <v>448</v>
      </c>
      <c r="F38" s="127" t="s">
        <v>1612</v>
      </c>
    </row>
    <row r="39" ht="42.75" customHeight="1">
      <c r="A39" s="95" t="s">
        <v>1613</v>
      </c>
      <c r="B39" s="95" t="s">
        <v>281</v>
      </c>
      <c r="C39" s="95" t="s">
        <v>1602</v>
      </c>
      <c r="D39" s="96">
        <v>0.0</v>
      </c>
      <c r="E39" s="95" t="s">
        <v>448</v>
      </c>
      <c r="F39" s="127" t="s">
        <v>1614</v>
      </c>
    </row>
    <row r="40" ht="42.75" customHeight="1">
      <c r="A40" s="95" t="s">
        <v>1615</v>
      </c>
      <c r="B40" s="95" t="s">
        <v>263</v>
      </c>
      <c r="C40" s="99" t="s">
        <v>264</v>
      </c>
      <c r="D40" s="96">
        <v>0.0</v>
      </c>
      <c r="E40" s="95" t="s">
        <v>448</v>
      </c>
      <c r="F40" s="127" t="s">
        <v>1616</v>
      </c>
    </row>
    <row r="41" ht="42.75" customHeight="1">
      <c r="A41" s="95" t="s">
        <v>1617</v>
      </c>
      <c r="B41" s="95" t="s">
        <v>634</v>
      </c>
      <c r="C41" s="95" t="s">
        <v>1618</v>
      </c>
      <c r="D41" s="96">
        <v>0.0</v>
      </c>
      <c r="E41" s="95" t="s">
        <v>448</v>
      </c>
      <c r="F41" s="127" t="s">
        <v>1619</v>
      </c>
    </row>
    <row r="42" ht="14.25" customHeight="1">
      <c r="A42" s="95" t="s">
        <v>1620</v>
      </c>
      <c r="F42" s="96"/>
    </row>
    <row r="43" ht="71.25" customHeight="1">
      <c r="A43" s="95" t="s">
        <v>1621</v>
      </c>
      <c r="B43" s="95" t="s">
        <v>263</v>
      </c>
      <c r="C43" s="99" t="s">
        <v>264</v>
      </c>
      <c r="D43" s="96">
        <v>0.0</v>
      </c>
      <c r="E43" s="95" t="s">
        <v>1622</v>
      </c>
      <c r="F43" s="127" t="s">
        <v>1623</v>
      </c>
    </row>
    <row r="44" ht="71.25" customHeight="1">
      <c r="A44" s="95" t="s">
        <v>1624</v>
      </c>
      <c r="B44" s="95" t="s">
        <v>321</v>
      </c>
      <c r="C44" s="95" t="s">
        <v>1625</v>
      </c>
      <c r="D44" s="96">
        <v>0.0</v>
      </c>
      <c r="E44" s="95" t="s">
        <v>448</v>
      </c>
      <c r="F44" s="127" t="s">
        <v>1626</v>
      </c>
    </row>
    <row r="45" ht="85.5" customHeight="1">
      <c r="A45" s="95" t="s">
        <v>1627</v>
      </c>
      <c r="B45" s="95" t="s">
        <v>321</v>
      </c>
      <c r="C45" s="95" t="s">
        <v>1628</v>
      </c>
      <c r="D45" s="96">
        <v>0.0</v>
      </c>
      <c r="E45" s="95" t="s">
        <v>448</v>
      </c>
      <c r="F45" s="127" t="s">
        <v>1629</v>
      </c>
    </row>
    <row r="46" ht="28.5" customHeight="1">
      <c r="A46" s="95" t="s">
        <v>1630</v>
      </c>
      <c r="B46" s="95" t="s">
        <v>1309</v>
      </c>
      <c r="C46" s="95" t="s">
        <v>1631</v>
      </c>
      <c r="D46" s="96">
        <v>0.0</v>
      </c>
      <c r="E46" s="95" t="s">
        <v>1632</v>
      </c>
      <c r="F46" s="127" t="s">
        <v>1633</v>
      </c>
    </row>
    <row r="47" ht="128.25" customHeight="1">
      <c r="A47" s="95" t="s">
        <v>1634</v>
      </c>
      <c r="B47" s="95" t="s">
        <v>634</v>
      </c>
      <c r="C47" s="95" t="s">
        <v>1258</v>
      </c>
      <c r="D47" s="96">
        <v>5.0</v>
      </c>
      <c r="E47" s="95" t="s">
        <v>1635</v>
      </c>
      <c r="F47" s="127" t="s">
        <v>1636</v>
      </c>
    </row>
    <row r="48" ht="57.0" customHeight="1">
      <c r="A48" s="95" t="s">
        <v>1637</v>
      </c>
      <c r="B48" s="95" t="s">
        <v>1589</v>
      </c>
      <c r="C48" s="95" t="s">
        <v>1638</v>
      </c>
      <c r="D48" s="96">
        <v>0.0</v>
      </c>
      <c r="E48" s="95" t="s">
        <v>1639</v>
      </c>
      <c r="F48" s="127" t="s">
        <v>1640</v>
      </c>
    </row>
    <row r="49" ht="28.5" customHeight="1">
      <c r="A49" s="95" t="s">
        <v>1641</v>
      </c>
      <c r="B49" s="95" t="s">
        <v>281</v>
      </c>
      <c r="C49" s="95" t="s">
        <v>1642</v>
      </c>
      <c r="D49" s="96">
        <v>5.0</v>
      </c>
      <c r="E49" s="95" t="s">
        <v>1643</v>
      </c>
      <c r="F49" s="127" t="s">
        <v>1644</v>
      </c>
    </row>
    <row r="50" ht="57.0" customHeight="1">
      <c r="A50" s="95" t="s">
        <v>1645</v>
      </c>
      <c r="B50" s="95" t="s">
        <v>1540</v>
      </c>
      <c r="C50" s="95" t="s">
        <v>1642</v>
      </c>
      <c r="D50" s="96">
        <v>5.0</v>
      </c>
      <c r="E50" s="95" t="s">
        <v>1646</v>
      </c>
      <c r="F50" s="127" t="s">
        <v>1647</v>
      </c>
    </row>
    <row r="51" ht="85.5" customHeight="1">
      <c r="A51" s="95" t="s">
        <v>1648</v>
      </c>
      <c r="B51" s="95" t="s">
        <v>321</v>
      </c>
      <c r="C51" s="95" t="s">
        <v>1649</v>
      </c>
      <c r="D51" s="96">
        <v>5.0</v>
      </c>
      <c r="E51" s="95" t="s">
        <v>1650</v>
      </c>
      <c r="F51" s="127" t="s">
        <v>1651</v>
      </c>
    </row>
    <row r="52" ht="12.75" customHeight="1">
      <c r="F52" s="96"/>
    </row>
    <row r="53" ht="12.75" customHeight="1">
      <c r="F53" s="96"/>
    </row>
    <row r="54" ht="12.75" customHeight="1">
      <c r="F54" s="96"/>
    </row>
    <row r="55" ht="12.75" customHeight="1">
      <c r="F55" s="96"/>
    </row>
    <row r="56" ht="12.75" customHeight="1">
      <c r="F56" s="96"/>
    </row>
    <row r="57" ht="12.75" customHeight="1">
      <c r="F57" s="96"/>
    </row>
    <row r="58" ht="12.75" customHeight="1">
      <c r="F58" s="96"/>
    </row>
    <row r="59" ht="12.75" customHeight="1">
      <c r="F59" s="96"/>
    </row>
    <row r="60" ht="12.75" customHeight="1">
      <c r="F60" s="96"/>
    </row>
    <row r="61" ht="12.75" customHeight="1">
      <c r="F61" s="96"/>
    </row>
    <row r="62" ht="12.75" customHeight="1">
      <c r="F62" s="96"/>
    </row>
    <row r="63" ht="12.75" customHeight="1">
      <c r="F63" s="96"/>
    </row>
    <row r="64" ht="12.75" customHeight="1">
      <c r="F64" s="96"/>
    </row>
    <row r="65" ht="12.75" customHeight="1">
      <c r="F65" s="96"/>
    </row>
    <row r="66" ht="12.75" customHeight="1">
      <c r="F66" s="96"/>
    </row>
    <row r="67" ht="12.75" customHeight="1">
      <c r="F67" s="96"/>
    </row>
    <row r="68" ht="12.75" customHeight="1">
      <c r="F68" s="96"/>
    </row>
    <row r="69" ht="12.75" customHeight="1">
      <c r="F69" s="96"/>
    </row>
    <row r="70" ht="12.75" customHeight="1">
      <c r="F70" s="96"/>
    </row>
    <row r="71" ht="12.75" customHeight="1">
      <c r="F71" s="96"/>
    </row>
    <row r="72" ht="12.75" customHeight="1">
      <c r="F72" s="96"/>
    </row>
    <row r="73" ht="12.75" customHeight="1">
      <c r="F73" s="96"/>
    </row>
    <row r="74" ht="12.75" customHeight="1">
      <c r="F74" s="96"/>
    </row>
    <row r="75" ht="12.75" customHeight="1">
      <c r="F75" s="96"/>
    </row>
    <row r="76" ht="12.75" customHeight="1">
      <c r="F76" s="96"/>
    </row>
    <row r="77" ht="12.75" customHeight="1">
      <c r="F77" s="96"/>
    </row>
    <row r="78" ht="12.75" customHeight="1">
      <c r="F78" s="96"/>
    </row>
    <row r="79" ht="12.75" customHeight="1">
      <c r="F79" s="96"/>
    </row>
    <row r="80" ht="12.75" customHeight="1">
      <c r="F80" s="96"/>
    </row>
    <row r="81" ht="12.75" customHeight="1">
      <c r="F81" s="96"/>
    </row>
    <row r="82" ht="12.75" customHeight="1">
      <c r="F82" s="96"/>
    </row>
    <row r="83" ht="12.75" customHeight="1">
      <c r="F83" s="96"/>
    </row>
    <row r="84" ht="12.75" customHeight="1">
      <c r="F84" s="96"/>
    </row>
    <row r="85" ht="12.75" customHeight="1">
      <c r="F85" s="96"/>
    </row>
    <row r="86" ht="12.75" customHeight="1">
      <c r="F86" s="96"/>
    </row>
    <row r="87" ht="12.75" customHeight="1">
      <c r="F87" s="96"/>
    </row>
    <row r="88" ht="12.75" customHeight="1">
      <c r="F88" s="96"/>
    </row>
    <row r="89" ht="12.75" customHeight="1">
      <c r="F89" s="96"/>
    </row>
    <row r="90" ht="12.75" customHeight="1">
      <c r="F90" s="96"/>
    </row>
    <row r="91" ht="12.75" customHeight="1">
      <c r="F91" s="96"/>
    </row>
    <row r="92" ht="12.75" customHeight="1">
      <c r="F92" s="96"/>
    </row>
    <row r="93" ht="12.75" customHeight="1">
      <c r="F93" s="96"/>
    </row>
    <row r="94" ht="12.75" customHeight="1">
      <c r="F94" s="96"/>
    </row>
    <row r="95" ht="12.75" customHeight="1">
      <c r="F95" s="96"/>
    </row>
    <row r="96" ht="12.75" customHeight="1">
      <c r="F96" s="96"/>
    </row>
    <row r="97" ht="12.75" customHeight="1">
      <c r="F97" s="96"/>
    </row>
    <row r="98" ht="12.75" customHeight="1">
      <c r="F98" s="96"/>
    </row>
    <row r="99" ht="12.75" customHeight="1">
      <c r="F99" s="96"/>
    </row>
    <row r="100" ht="12.75" customHeight="1">
      <c r="F100" s="96"/>
    </row>
    <row r="101" ht="12.75" customHeight="1">
      <c r="F101" s="96"/>
    </row>
    <row r="102" ht="12.75" customHeight="1">
      <c r="F102" s="96"/>
    </row>
    <row r="103" ht="12.75" customHeight="1">
      <c r="F103" s="96"/>
    </row>
    <row r="104" ht="12.75" customHeight="1">
      <c r="F104" s="96"/>
    </row>
    <row r="105" ht="12.75" customHeight="1">
      <c r="F105" s="96"/>
    </row>
    <row r="106" ht="12.75" customHeight="1">
      <c r="F106" s="96"/>
    </row>
    <row r="107" ht="12.75" customHeight="1">
      <c r="F107" s="96"/>
    </row>
    <row r="108" ht="12.75" customHeight="1">
      <c r="F108" s="96"/>
    </row>
    <row r="109" ht="12.75" customHeight="1">
      <c r="F109" s="96"/>
    </row>
    <row r="110" ht="12.75" customHeight="1">
      <c r="F110" s="96"/>
    </row>
    <row r="111" ht="12.75" customHeight="1">
      <c r="F111" s="96"/>
    </row>
    <row r="112" ht="12.75" customHeight="1">
      <c r="F112" s="96"/>
    </row>
    <row r="113" ht="12.75" customHeight="1">
      <c r="F113" s="96"/>
    </row>
    <row r="114" ht="12.75" customHeight="1">
      <c r="F114" s="96"/>
    </row>
    <row r="115" ht="12.75" customHeight="1">
      <c r="F115" s="96"/>
    </row>
    <row r="116" ht="12.75" customHeight="1">
      <c r="F116" s="96"/>
    </row>
    <row r="117" ht="12.75" customHeight="1">
      <c r="F117" s="96"/>
    </row>
    <row r="118" ht="12.75" customHeight="1">
      <c r="F118" s="96"/>
    </row>
    <row r="119" ht="12.75" customHeight="1">
      <c r="F119" s="96"/>
    </row>
    <row r="120" ht="12.75" customHeight="1">
      <c r="F120" s="96"/>
    </row>
    <row r="121" ht="12.75" customHeight="1">
      <c r="F121" s="96"/>
    </row>
    <row r="122" ht="12.75" customHeight="1">
      <c r="F122" s="96"/>
    </row>
    <row r="123" ht="12.75" customHeight="1">
      <c r="F123" s="96"/>
    </row>
    <row r="124" ht="12.75" customHeight="1">
      <c r="F124" s="96"/>
    </row>
    <row r="125" ht="12.75" customHeight="1">
      <c r="F125" s="96"/>
    </row>
    <row r="126" ht="12.75" customHeight="1">
      <c r="F126" s="96"/>
    </row>
    <row r="127" ht="12.75" customHeight="1">
      <c r="F127" s="96"/>
    </row>
    <row r="128" ht="12.75" customHeight="1">
      <c r="F128" s="96"/>
    </row>
    <row r="129" ht="12.75" customHeight="1">
      <c r="F129" s="96"/>
    </row>
    <row r="130" ht="12.75" customHeight="1">
      <c r="F130" s="96"/>
    </row>
    <row r="131" ht="12.75" customHeight="1">
      <c r="F131" s="96"/>
    </row>
    <row r="132" ht="12.75" customHeight="1">
      <c r="F132" s="96"/>
    </row>
    <row r="133" ht="12.75" customHeight="1">
      <c r="F133" s="96"/>
    </row>
    <row r="134" ht="12.75" customHeight="1">
      <c r="F134" s="96"/>
    </row>
    <row r="135" ht="12.75" customHeight="1">
      <c r="F135" s="96"/>
    </row>
    <row r="136" ht="12.75" customHeight="1">
      <c r="F136" s="96"/>
    </row>
    <row r="137" ht="12.75" customHeight="1">
      <c r="F137" s="96"/>
    </row>
    <row r="138" ht="12.75" customHeight="1">
      <c r="F138" s="96"/>
    </row>
    <row r="139" ht="12.75" customHeight="1">
      <c r="F139" s="96"/>
    </row>
    <row r="140" ht="12.75" customHeight="1">
      <c r="F140" s="96"/>
    </row>
    <row r="141" ht="12.75" customHeight="1">
      <c r="F141" s="96"/>
    </row>
    <row r="142" ht="12.75" customHeight="1">
      <c r="F142" s="96"/>
    </row>
    <row r="143" ht="12.75" customHeight="1">
      <c r="F143" s="96"/>
    </row>
    <row r="144" ht="12.75" customHeight="1">
      <c r="F144" s="96"/>
    </row>
    <row r="145" ht="12.75" customHeight="1">
      <c r="F145" s="96"/>
    </row>
    <row r="146" ht="12.75" customHeight="1">
      <c r="F146" s="96"/>
    </row>
    <row r="147" ht="12.75" customHeight="1">
      <c r="F147" s="96"/>
    </row>
    <row r="148" ht="12.75" customHeight="1">
      <c r="F148" s="96"/>
    </row>
    <row r="149" ht="12.75" customHeight="1">
      <c r="F149" s="96"/>
    </row>
    <row r="150" ht="12.75" customHeight="1">
      <c r="F150" s="96"/>
    </row>
    <row r="151" ht="12.75" customHeight="1">
      <c r="F151" s="96"/>
    </row>
    <row r="152" ht="12.75" customHeight="1">
      <c r="F152" s="96"/>
    </row>
    <row r="153" ht="12.75" customHeight="1">
      <c r="F153" s="96"/>
    </row>
    <row r="154" ht="12.75" customHeight="1">
      <c r="F154" s="96"/>
    </row>
    <row r="155" ht="12.75" customHeight="1">
      <c r="F155" s="96"/>
    </row>
    <row r="156" ht="12.75" customHeight="1">
      <c r="F156" s="96"/>
    </row>
    <row r="157" ht="12.75" customHeight="1">
      <c r="F157" s="96"/>
    </row>
    <row r="158" ht="12.75" customHeight="1">
      <c r="F158" s="96"/>
    </row>
    <row r="159" ht="12.75" customHeight="1">
      <c r="F159" s="96"/>
    </row>
    <row r="160" ht="12.75" customHeight="1">
      <c r="F160" s="96"/>
    </row>
    <row r="161" ht="12.75" customHeight="1">
      <c r="F161" s="96"/>
    </row>
    <row r="162" ht="12.75" customHeight="1">
      <c r="F162" s="96"/>
    </row>
    <row r="163" ht="12.75" customHeight="1">
      <c r="F163" s="96"/>
    </row>
    <row r="164" ht="12.75" customHeight="1">
      <c r="F164" s="96"/>
    </row>
    <row r="165" ht="12.75" customHeight="1">
      <c r="F165" s="96"/>
    </row>
    <row r="166" ht="12.75" customHeight="1">
      <c r="F166" s="96"/>
    </row>
    <row r="167" ht="12.75" customHeight="1">
      <c r="F167" s="96"/>
    </row>
    <row r="168" ht="12.75" customHeight="1">
      <c r="F168" s="96"/>
    </row>
    <row r="169" ht="12.75" customHeight="1">
      <c r="F169" s="96"/>
    </row>
    <row r="170" ht="12.75" customHeight="1">
      <c r="F170" s="96"/>
    </row>
    <row r="171" ht="12.75" customHeight="1">
      <c r="F171" s="96"/>
    </row>
    <row r="172" ht="12.75" customHeight="1">
      <c r="F172" s="96"/>
    </row>
    <row r="173" ht="12.75" customHeight="1">
      <c r="F173" s="96"/>
    </row>
    <row r="174" ht="12.75" customHeight="1">
      <c r="F174" s="96"/>
    </row>
    <row r="175" ht="12.75" customHeight="1">
      <c r="F175" s="96"/>
    </row>
    <row r="176" ht="12.75" customHeight="1">
      <c r="F176" s="96"/>
    </row>
    <row r="177" ht="12.75" customHeight="1">
      <c r="F177" s="96"/>
    </row>
    <row r="178" ht="12.75" customHeight="1">
      <c r="F178" s="96"/>
    </row>
    <row r="179" ht="12.75" customHeight="1">
      <c r="F179" s="96"/>
    </row>
    <row r="180" ht="12.75" customHeight="1">
      <c r="F180" s="96"/>
    </row>
    <row r="181" ht="12.75" customHeight="1">
      <c r="F181" s="96"/>
    </row>
    <row r="182" ht="12.75" customHeight="1">
      <c r="F182" s="96"/>
    </row>
    <row r="183" ht="12.75" customHeight="1">
      <c r="F183" s="96"/>
    </row>
    <row r="184" ht="12.75" customHeight="1">
      <c r="F184" s="96"/>
    </row>
    <row r="185" ht="12.75" customHeight="1">
      <c r="F185" s="96"/>
    </row>
    <row r="186" ht="12.75" customHeight="1">
      <c r="F186" s="96"/>
    </row>
    <row r="187" ht="12.75" customHeight="1">
      <c r="F187" s="96"/>
    </row>
    <row r="188" ht="12.75" customHeight="1">
      <c r="F188" s="96"/>
    </row>
    <row r="189" ht="12.75" customHeight="1">
      <c r="F189" s="96"/>
    </row>
    <row r="190" ht="12.75" customHeight="1">
      <c r="F190" s="96"/>
    </row>
    <row r="191" ht="12.75" customHeight="1">
      <c r="F191" s="96"/>
    </row>
    <row r="192" ht="12.75" customHeight="1">
      <c r="F192" s="96"/>
    </row>
    <row r="193" ht="12.75" customHeight="1">
      <c r="F193" s="96"/>
    </row>
    <row r="194" ht="12.75" customHeight="1">
      <c r="F194" s="96"/>
    </row>
    <row r="195" ht="12.75" customHeight="1">
      <c r="F195" s="96"/>
    </row>
    <row r="196" ht="12.75" customHeight="1">
      <c r="F196" s="96"/>
    </row>
    <row r="197" ht="12.75" customHeight="1">
      <c r="F197" s="96"/>
    </row>
    <row r="198" ht="12.75" customHeight="1">
      <c r="F198" s="96"/>
    </row>
    <row r="199" ht="12.75" customHeight="1">
      <c r="F199" s="96"/>
    </row>
    <row r="200" ht="12.75" customHeight="1">
      <c r="F200" s="96"/>
    </row>
    <row r="201" ht="12.75" customHeight="1">
      <c r="F201" s="96"/>
    </row>
    <row r="202" ht="12.75" customHeight="1">
      <c r="F202" s="96"/>
    </row>
    <row r="203" ht="12.75" customHeight="1">
      <c r="F203" s="96"/>
    </row>
    <row r="204" ht="12.75" customHeight="1">
      <c r="F204" s="96"/>
    </row>
    <row r="205" ht="12.75" customHeight="1">
      <c r="F205" s="96"/>
    </row>
    <row r="206" ht="12.75" customHeight="1">
      <c r="F206" s="96"/>
    </row>
    <row r="207" ht="12.75" customHeight="1">
      <c r="F207" s="96"/>
    </row>
    <row r="208" ht="12.75" customHeight="1">
      <c r="F208" s="96"/>
    </row>
    <row r="209" ht="12.75" customHeight="1">
      <c r="F209" s="96"/>
    </row>
    <row r="210" ht="12.75" customHeight="1">
      <c r="F210" s="96"/>
    </row>
    <row r="211" ht="12.75" customHeight="1">
      <c r="F211" s="96"/>
    </row>
    <row r="212" ht="12.75" customHeight="1">
      <c r="F212" s="96"/>
    </row>
    <row r="213" ht="12.75" customHeight="1">
      <c r="F213" s="96"/>
    </row>
    <row r="214" ht="12.75" customHeight="1">
      <c r="F214" s="96"/>
    </row>
    <row r="215" ht="12.75" customHeight="1">
      <c r="F215" s="96"/>
    </row>
    <row r="216" ht="12.75" customHeight="1">
      <c r="F216" s="96"/>
    </row>
    <row r="217" ht="12.75" customHeight="1">
      <c r="F217" s="96"/>
    </row>
    <row r="218" ht="12.75" customHeight="1">
      <c r="F218" s="96"/>
    </row>
    <row r="219" ht="12.75" customHeight="1">
      <c r="F219" s="96"/>
    </row>
    <row r="220" ht="12.75" customHeight="1">
      <c r="F220" s="96"/>
    </row>
    <row r="221" ht="12.75" customHeight="1">
      <c r="F221" s="96"/>
    </row>
    <row r="222" ht="12.75" customHeight="1">
      <c r="F222" s="96"/>
    </row>
    <row r="223" ht="12.75" customHeight="1">
      <c r="F223" s="96"/>
    </row>
    <row r="224" ht="12.75" customHeight="1">
      <c r="F224" s="96"/>
    </row>
    <row r="225" ht="12.75" customHeight="1">
      <c r="F225" s="96"/>
    </row>
    <row r="226" ht="12.75" customHeight="1">
      <c r="F226" s="96"/>
    </row>
    <row r="227" ht="12.75" customHeight="1">
      <c r="F227" s="96"/>
    </row>
    <row r="228" ht="12.75" customHeight="1">
      <c r="F228" s="96"/>
    </row>
    <row r="229" ht="12.75" customHeight="1">
      <c r="F229" s="96"/>
    </row>
    <row r="230" ht="12.75" customHeight="1">
      <c r="F230" s="96"/>
    </row>
    <row r="231" ht="12.75" customHeight="1">
      <c r="F231" s="96"/>
    </row>
    <row r="232" ht="12.75" customHeight="1">
      <c r="F232" s="96"/>
    </row>
    <row r="233" ht="12.75" customHeight="1">
      <c r="F233" s="96"/>
    </row>
    <row r="234" ht="12.75" customHeight="1">
      <c r="F234" s="96"/>
    </row>
    <row r="235" ht="12.75" customHeight="1">
      <c r="F235" s="96"/>
    </row>
    <row r="236" ht="12.75" customHeight="1">
      <c r="F236" s="96"/>
    </row>
    <row r="237" ht="12.75" customHeight="1">
      <c r="F237" s="96"/>
    </row>
    <row r="238" ht="12.75" customHeight="1">
      <c r="F238" s="96"/>
    </row>
    <row r="239" ht="12.75" customHeight="1">
      <c r="F239" s="96"/>
    </row>
    <row r="240" ht="12.75" customHeight="1">
      <c r="F240" s="96"/>
    </row>
    <row r="241" ht="12.75" customHeight="1">
      <c r="F241" s="96"/>
    </row>
    <row r="242" ht="12.75" customHeight="1">
      <c r="F242" s="96"/>
    </row>
    <row r="243" ht="12.75" customHeight="1">
      <c r="F243" s="96"/>
    </row>
    <row r="244" ht="12.75" customHeight="1">
      <c r="F244" s="96"/>
    </row>
    <row r="245" ht="12.75" customHeight="1">
      <c r="F245" s="96"/>
    </row>
    <row r="246" ht="12.75" customHeight="1">
      <c r="F246" s="96"/>
    </row>
    <row r="247" ht="12.75" customHeight="1">
      <c r="F247" s="96"/>
    </row>
    <row r="248" ht="12.75" customHeight="1">
      <c r="F248" s="96"/>
    </row>
    <row r="249" ht="12.75" customHeight="1">
      <c r="F249" s="96"/>
    </row>
    <row r="250" ht="12.75" customHeight="1">
      <c r="F250" s="96"/>
    </row>
    <row r="251" ht="12.75" customHeight="1">
      <c r="F251" s="96"/>
    </row>
    <row r="252" ht="12.75" customHeight="1">
      <c r="F252" s="96"/>
    </row>
    <row r="253" ht="12.75" customHeight="1">
      <c r="F253" s="96"/>
    </row>
    <row r="254" ht="12.75" customHeight="1">
      <c r="F254" s="96"/>
    </row>
    <row r="255" ht="12.75" customHeight="1">
      <c r="F255" s="96"/>
    </row>
    <row r="256" ht="12.75" customHeight="1">
      <c r="F256" s="96"/>
    </row>
    <row r="257" ht="12.75" customHeight="1">
      <c r="F257" s="96"/>
    </row>
    <row r="258" ht="12.75" customHeight="1">
      <c r="F258" s="96"/>
    </row>
    <row r="259" ht="12.75" customHeight="1">
      <c r="F259" s="96"/>
    </row>
    <row r="260" ht="12.75" customHeight="1">
      <c r="F260" s="96"/>
    </row>
    <row r="261" ht="12.75" customHeight="1">
      <c r="F261" s="96"/>
    </row>
    <row r="262" ht="12.75" customHeight="1">
      <c r="F262" s="96"/>
    </row>
    <row r="263" ht="12.75" customHeight="1">
      <c r="F263" s="96"/>
    </row>
    <row r="264" ht="12.75" customHeight="1">
      <c r="F264" s="96"/>
    </row>
    <row r="265" ht="12.75" customHeight="1">
      <c r="F265" s="96"/>
    </row>
    <row r="266" ht="12.75" customHeight="1">
      <c r="F266" s="96"/>
    </row>
    <row r="267" ht="12.75" customHeight="1">
      <c r="F267" s="96"/>
    </row>
    <row r="268" ht="12.75" customHeight="1">
      <c r="F268" s="96"/>
    </row>
    <row r="269" ht="12.75" customHeight="1">
      <c r="F269" s="96"/>
    </row>
    <row r="270" ht="12.75" customHeight="1">
      <c r="F270" s="96"/>
    </row>
    <row r="271" ht="12.75" customHeight="1">
      <c r="F271" s="96"/>
    </row>
    <row r="272" ht="12.75" customHeight="1">
      <c r="F272" s="96"/>
    </row>
    <row r="273" ht="12.75" customHeight="1">
      <c r="F273" s="96"/>
    </row>
    <row r="274" ht="12.75" customHeight="1">
      <c r="F274" s="96"/>
    </row>
    <row r="275" ht="12.75" customHeight="1">
      <c r="F275" s="96"/>
    </row>
    <row r="276" ht="12.75" customHeight="1">
      <c r="F276" s="96"/>
    </row>
    <row r="277" ht="12.75" customHeight="1">
      <c r="F277" s="96"/>
    </row>
    <row r="278" ht="12.75" customHeight="1">
      <c r="F278" s="96"/>
    </row>
    <row r="279" ht="12.75" customHeight="1">
      <c r="F279" s="96"/>
    </row>
    <row r="280" ht="12.75" customHeight="1">
      <c r="F280" s="96"/>
    </row>
    <row r="281" ht="12.75" customHeight="1">
      <c r="F281" s="96"/>
    </row>
    <row r="282" ht="12.75" customHeight="1">
      <c r="F282" s="96"/>
    </row>
    <row r="283" ht="12.75" customHeight="1">
      <c r="F283" s="96"/>
    </row>
    <row r="284" ht="12.75" customHeight="1">
      <c r="F284" s="96"/>
    </row>
    <row r="285" ht="12.75" customHeight="1">
      <c r="F285" s="96"/>
    </row>
    <row r="286" ht="12.75" customHeight="1">
      <c r="F286" s="96"/>
    </row>
    <row r="287" ht="12.75" customHeight="1">
      <c r="F287" s="96"/>
    </row>
    <row r="288" ht="12.75" customHeight="1">
      <c r="F288" s="96"/>
    </row>
    <row r="289" ht="12.75" customHeight="1">
      <c r="F289" s="96"/>
    </row>
    <row r="290" ht="12.75" customHeight="1">
      <c r="F290" s="96"/>
    </row>
    <row r="291" ht="12.75" customHeight="1">
      <c r="F291" s="96"/>
    </row>
    <row r="292" ht="12.75" customHeight="1">
      <c r="F292" s="96"/>
    </row>
    <row r="293" ht="12.75" customHeight="1">
      <c r="F293" s="96"/>
    </row>
    <row r="294" ht="12.75" customHeight="1">
      <c r="F294" s="96"/>
    </row>
    <row r="295" ht="12.75" customHeight="1">
      <c r="F295" s="96"/>
    </row>
    <row r="296" ht="12.75" customHeight="1">
      <c r="F296" s="96"/>
    </row>
    <row r="297" ht="12.75" customHeight="1">
      <c r="F297" s="96"/>
    </row>
    <row r="298" ht="12.75" customHeight="1">
      <c r="F298" s="96"/>
    </row>
    <row r="299" ht="12.75" customHeight="1">
      <c r="F299" s="96"/>
    </row>
    <row r="300" ht="12.75" customHeight="1">
      <c r="F300" s="96"/>
    </row>
    <row r="301" ht="12.75" customHeight="1">
      <c r="F301" s="96"/>
    </row>
    <row r="302" ht="12.75" customHeight="1">
      <c r="F302" s="96"/>
    </row>
    <row r="303" ht="12.75" customHeight="1">
      <c r="F303" s="96"/>
    </row>
    <row r="304" ht="12.75" customHeight="1">
      <c r="F304" s="96"/>
    </row>
    <row r="305" ht="12.75" customHeight="1">
      <c r="F305" s="96"/>
    </row>
    <row r="306" ht="12.75" customHeight="1">
      <c r="F306" s="96"/>
    </row>
    <row r="307" ht="12.75" customHeight="1">
      <c r="F307" s="96"/>
    </row>
    <row r="308" ht="12.75" customHeight="1">
      <c r="F308" s="96"/>
    </row>
    <row r="309" ht="12.75" customHeight="1">
      <c r="F309" s="96"/>
    </row>
    <row r="310" ht="12.75" customHeight="1">
      <c r="F310" s="96"/>
    </row>
    <row r="311" ht="12.75" customHeight="1">
      <c r="F311" s="96"/>
    </row>
    <row r="312" ht="12.75" customHeight="1">
      <c r="F312" s="96"/>
    </row>
    <row r="313" ht="12.75" customHeight="1">
      <c r="F313" s="96"/>
    </row>
    <row r="314" ht="12.75" customHeight="1">
      <c r="F314" s="96"/>
    </row>
    <row r="315" ht="12.75" customHeight="1">
      <c r="F315" s="96"/>
    </row>
    <row r="316" ht="12.75" customHeight="1">
      <c r="F316" s="96"/>
    </row>
    <row r="317" ht="12.75" customHeight="1">
      <c r="F317" s="96"/>
    </row>
    <row r="318" ht="12.75" customHeight="1">
      <c r="F318" s="96"/>
    </row>
    <row r="319" ht="12.75" customHeight="1">
      <c r="F319" s="96"/>
    </row>
    <row r="320" ht="12.75" customHeight="1">
      <c r="F320" s="96"/>
    </row>
    <row r="321" ht="12.75" customHeight="1">
      <c r="F321" s="96"/>
    </row>
    <row r="322" ht="12.75" customHeight="1">
      <c r="F322" s="96"/>
    </row>
    <row r="323" ht="12.75" customHeight="1">
      <c r="F323" s="96"/>
    </row>
    <row r="324" ht="12.75" customHeight="1">
      <c r="F324" s="96"/>
    </row>
    <row r="325" ht="12.75" customHeight="1">
      <c r="F325" s="96"/>
    </row>
    <row r="326" ht="12.75" customHeight="1">
      <c r="F326" s="96"/>
    </row>
    <row r="327" ht="12.75" customHeight="1">
      <c r="F327" s="96"/>
    </row>
    <row r="328" ht="12.75" customHeight="1">
      <c r="F328" s="96"/>
    </row>
    <row r="329" ht="12.75" customHeight="1">
      <c r="F329" s="96"/>
    </row>
    <row r="330" ht="12.75" customHeight="1">
      <c r="F330" s="96"/>
    </row>
    <row r="331" ht="12.75" customHeight="1">
      <c r="F331" s="96"/>
    </row>
    <row r="332" ht="12.75" customHeight="1">
      <c r="F332" s="96"/>
    </row>
    <row r="333" ht="12.75" customHeight="1">
      <c r="F333" s="96"/>
    </row>
    <row r="334" ht="12.75" customHeight="1">
      <c r="F334" s="96"/>
    </row>
    <row r="335" ht="12.75" customHeight="1">
      <c r="F335" s="96"/>
    </row>
    <row r="336" ht="12.75" customHeight="1">
      <c r="F336" s="96"/>
    </row>
    <row r="337" ht="12.75" customHeight="1">
      <c r="F337" s="96"/>
    </row>
    <row r="338" ht="12.75" customHeight="1">
      <c r="F338" s="96"/>
    </row>
    <row r="339" ht="12.75" customHeight="1">
      <c r="F339" s="96"/>
    </row>
    <row r="340" ht="12.75" customHeight="1">
      <c r="F340" s="96"/>
    </row>
    <row r="341" ht="12.75" customHeight="1">
      <c r="F341" s="96"/>
    </row>
    <row r="342" ht="12.75" customHeight="1">
      <c r="F342" s="96"/>
    </row>
    <row r="343" ht="12.75" customHeight="1">
      <c r="F343" s="96"/>
    </row>
    <row r="344" ht="12.75" customHeight="1">
      <c r="F344" s="96"/>
    </row>
    <row r="345" ht="12.75" customHeight="1">
      <c r="F345" s="96"/>
    </row>
    <row r="346" ht="12.75" customHeight="1">
      <c r="F346" s="96"/>
    </row>
    <row r="347" ht="12.75" customHeight="1">
      <c r="F347" s="96"/>
    </row>
    <row r="348" ht="12.75" customHeight="1">
      <c r="F348" s="96"/>
    </row>
    <row r="349" ht="12.75" customHeight="1">
      <c r="F349" s="96"/>
    </row>
    <row r="350" ht="12.75" customHeight="1">
      <c r="F350" s="96"/>
    </row>
    <row r="351" ht="12.75" customHeight="1">
      <c r="F351" s="96"/>
    </row>
    <row r="352" ht="12.75" customHeight="1">
      <c r="F352" s="96"/>
    </row>
    <row r="353" ht="12.75" customHeight="1">
      <c r="F353" s="96"/>
    </row>
    <row r="354" ht="12.75" customHeight="1">
      <c r="F354" s="96"/>
    </row>
    <row r="355" ht="12.75" customHeight="1">
      <c r="F355" s="96"/>
    </row>
    <row r="356" ht="12.75" customHeight="1">
      <c r="F356" s="96"/>
    </row>
    <row r="357" ht="12.75" customHeight="1">
      <c r="F357" s="96"/>
    </row>
    <row r="358" ht="12.75" customHeight="1">
      <c r="F358" s="96"/>
    </row>
    <row r="359" ht="12.75" customHeight="1">
      <c r="F359" s="96"/>
    </row>
    <row r="360" ht="12.75" customHeight="1">
      <c r="F360" s="96"/>
    </row>
    <row r="361" ht="12.75" customHeight="1">
      <c r="F361" s="96"/>
    </row>
    <row r="362" ht="12.75" customHeight="1">
      <c r="F362" s="96"/>
    </row>
    <row r="363" ht="12.75" customHeight="1">
      <c r="F363" s="96"/>
    </row>
    <row r="364" ht="12.75" customHeight="1">
      <c r="F364" s="96"/>
    </row>
    <row r="365" ht="12.75" customHeight="1">
      <c r="F365" s="96"/>
    </row>
    <row r="366" ht="12.75" customHeight="1">
      <c r="F366" s="96"/>
    </row>
    <row r="367" ht="12.75" customHeight="1">
      <c r="F367" s="96"/>
    </row>
    <row r="368" ht="12.75" customHeight="1">
      <c r="F368" s="96"/>
    </row>
    <row r="369" ht="12.75" customHeight="1">
      <c r="F369" s="96"/>
    </row>
    <row r="370" ht="12.75" customHeight="1">
      <c r="F370" s="96"/>
    </row>
    <row r="371" ht="12.75" customHeight="1">
      <c r="F371" s="96"/>
    </row>
    <row r="372" ht="12.75" customHeight="1">
      <c r="F372" s="96"/>
    </row>
    <row r="373" ht="12.75" customHeight="1">
      <c r="F373" s="96"/>
    </row>
    <row r="374" ht="12.75" customHeight="1">
      <c r="F374" s="96"/>
    </row>
    <row r="375" ht="12.75" customHeight="1">
      <c r="F375" s="96"/>
    </row>
    <row r="376" ht="12.75" customHeight="1">
      <c r="F376" s="96"/>
    </row>
    <row r="377" ht="12.75" customHeight="1">
      <c r="F377" s="96"/>
    </row>
    <row r="378" ht="12.75" customHeight="1">
      <c r="F378" s="96"/>
    </row>
    <row r="379" ht="12.75" customHeight="1">
      <c r="F379" s="96"/>
    </row>
    <row r="380" ht="12.75" customHeight="1">
      <c r="F380" s="96"/>
    </row>
    <row r="381" ht="12.75" customHeight="1">
      <c r="F381" s="96"/>
    </row>
    <row r="382" ht="12.75" customHeight="1">
      <c r="F382" s="96"/>
    </row>
    <row r="383" ht="12.75" customHeight="1">
      <c r="F383" s="96"/>
    </row>
    <row r="384" ht="12.75" customHeight="1">
      <c r="F384" s="96"/>
    </row>
    <row r="385" ht="12.75" customHeight="1">
      <c r="F385" s="96"/>
    </row>
    <row r="386" ht="12.75" customHeight="1">
      <c r="F386" s="96"/>
    </row>
    <row r="387" ht="12.75" customHeight="1">
      <c r="F387" s="96"/>
    </row>
    <row r="388" ht="12.75" customHeight="1">
      <c r="F388" s="96"/>
    </row>
    <row r="389" ht="12.75" customHeight="1">
      <c r="F389" s="96"/>
    </row>
    <row r="390" ht="12.75" customHeight="1">
      <c r="F390" s="96"/>
    </row>
    <row r="391" ht="12.75" customHeight="1">
      <c r="F391" s="96"/>
    </row>
    <row r="392" ht="12.75" customHeight="1">
      <c r="F392" s="96"/>
    </row>
    <row r="393" ht="12.75" customHeight="1">
      <c r="F393" s="96"/>
    </row>
    <row r="394" ht="12.75" customHeight="1">
      <c r="F394" s="96"/>
    </row>
    <row r="395" ht="12.75" customHeight="1">
      <c r="F395" s="96"/>
    </row>
    <row r="396" ht="12.75" customHeight="1">
      <c r="F396" s="96"/>
    </row>
    <row r="397" ht="12.75" customHeight="1">
      <c r="F397" s="96"/>
    </row>
    <row r="398" ht="12.75" customHeight="1">
      <c r="F398" s="96"/>
    </row>
    <row r="399" ht="12.75" customHeight="1">
      <c r="F399" s="96"/>
    </row>
    <row r="400" ht="12.75" customHeight="1">
      <c r="F400" s="96"/>
    </row>
    <row r="401" ht="12.75" customHeight="1">
      <c r="F401" s="96"/>
    </row>
    <row r="402" ht="12.75" customHeight="1">
      <c r="F402" s="96"/>
    </row>
    <row r="403" ht="12.75" customHeight="1">
      <c r="F403" s="96"/>
    </row>
    <row r="404" ht="12.75" customHeight="1">
      <c r="F404" s="96"/>
    </row>
    <row r="405" ht="12.75" customHeight="1">
      <c r="F405" s="96"/>
    </row>
    <row r="406" ht="12.75" customHeight="1">
      <c r="F406" s="96"/>
    </row>
    <row r="407" ht="12.75" customHeight="1">
      <c r="F407" s="96"/>
    </row>
    <row r="408" ht="12.75" customHeight="1">
      <c r="F408" s="96"/>
    </row>
    <row r="409" ht="12.75" customHeight="1">
      <c r="F409" s="96"/>
    </row>
    <row r="410" ht="12.75" customHeight="1">
      <c r="F410" s="96"/>
    </row>
    <row r="411" ht="12.75" customHeight="1">
      <c r="F411" s="96"/>
    </row>
    <row r="412" ht="12.75" customHeight="1">
      <c r="F412" s="96"/>
    </row>
    <row r="413" ht="12.75" customHeight="1">
      <c r="F413" s="96"/>
    </row>
    <row r="414" ht="12.75" customHeight="1">
      <c r="F414" s="96"/>
    </row>
    <row r="415" ht="12.75" customHeight="1">
      <c r="F415" s="96"/>
    </row>
    <row r="416" ht="12.75" customHeight="1">
      <c r="F416" s="96"/>
    </row>
    <row r="417" ht="12.75" customHeight="1">
      <c r="F417" s="96"/>
    </row>
    <row r="418" ht="12.75" customHeight="1">
      <c r="F418" s="96"/>
    </row>
    <row r="419" ht="12.75" customHeight="1">
      <c r="F419" s="96"/>
    </row>
    <row r="420" ht="12.75" customHeight="1">
      <c r="F420" s="96"/>
    </row>
    <row r="421" ht="12.75" customHeight="1">
      <c r="F421" s="96"/>
    </row>
    <row r="422" ht="12.75" customHeight="1">
      <c r="F422" s="96"/>
    </row>
    <row r="423" ht="12.75" customHeight="1">
      <c r="F423" s="96"/>
    </row>
    <row r="424" ht="12.75" customHeight="1">
      <c r="F424" s="96"/>
    </row>
    <row r="425" ht="12.75" customHeight="1">
      <c r="F425" s="96"/>
    </row>
    <row r="426" ht="12.75" customHeight="1">
      <c r="F426" s="96"/>
    </row>
    <row r="427" ht="12.75" customHeight="1">
      <c r="F427" s="96"/>
    </row>
    <row r="428" ht="12.75" customHeight="1">
      <c r="F428" s="96"/>
    </row>
    <row r="429" ht="12.75" customHeight="1">
      <c r="F429" s="96"/>
    </row>
    <row r="430" ht="12.75" customHeight="1">
      <c r="F430" s="96"/>
    </row>
    <row r="431" ht="12.75" customHeight="1">
      <c r="F431" s="96"/>
    </row>
    <row r="432" ht="12.75" customHeight="1">
      <c r="F432" s="96"/>
    </row>
    <row r="433" ht="12.75" customHeight="1">
      <c r="F433" s="96"/>
    </row>
    <row r="434" ht="12.75" customHeight="1">
      <c r="F434" s="96"/>
    </row>
    <row r="435" ht="12.75" customHeight="1">
      <c r="F435" s="96"/>
    </row>
    <row r="436" ht="12.75" customHeight="1">
      <c r="F436" s="96"/>
    </row>
    <row r="437" ht="12.75" customHeight="1">
      <c r="F437" s="96"/>
    </row>
    <row r="438" ht="12.75" customHeight="1">
      <c r="F438" s="96"/>
    </row>
    <row r="439" ht="12.75" customHeight="1">
      <c r="F439" s="96"/>
    </row>
    <row r="440" ht="12.75" customHeight="1">
      <c r="F440" s="96"/>
    </row>
    <row r="441" ht="12.75" customHeight="1">
      <c r="F441" s="96"/>
    </row>
    <row r="442" ht="12.75" customHeight="1">
      <c r="F442" s="96"/>
    </row>
    <row r="443" ht="12.75" customHeight="1">
      <c r="F443" s="96"/>
    </row>
    <row r="444" ht="12.75" customHeight="1">
      <c r="F444" s="96"/>
    </row>
    <row r="445" ht="12.75" customHeight="1">
      <c r="F445" s="96"/>
    </row>
    <row r="446" ht="12.75" customHeight="1">
      <c r="F446" s="96"/>
    </row>
    <row r="447" ht="12.75" customHeight="1">
      <c r="F447" s="96"/>
    </row>
    <row r="448" ht="12.75" customHeight="1">
      <c r="F448" s="96"/>
    </row>
    <row r="449" ht="12.75" customHeight="1">
      <c r="F449" s="96"/>
    </row>
    <row r="450" ht="12.75" customHeight="1">
      <c r="F450" s="96"/>
    </row>
    <row r="451" ht="12.75" customHeight="1">
      <c r="F451" s="96"/>
    </row>
    <row r="452" ht="12.75" customHeight="1">
      <c r="F452" s="96"/>
    </row>
    <row r="453" ht="12.75" customHeight="1">
      <c r="F453" s="96"/>
    </row>
    <row r="454" ht="12.75" customHeight="1">
      <c r="F454" s="96"/>
    </row>
    <row r="455" ht="12.75" customHeight="1">
      <c r="F455" s="96"/>
    </row>
    <row r="456" ht="12.75" customHeight="1">
      <c r="F456" s="96"/>
    </row>
    <row r="457" ht="12.75" customHeight="1">
      <c r="F457" s="96"/>
    </row>
    <row r="458" ht="12.75" customHeight="1">
      <c r="F458" s="96"/>
    </row>
    <row r="459" ht="12.75" customHeight="1">
      <c r="F459" s="96"/>
    </row>
    <row r="460" ht="12.75" customHeight="1">
      <c r="F460" s="96"/>
    </row>
    <row r="461" ht="12.75" customHeight="1">
      <c r="F461" s="96"/>
    </row>
    <row r="462" ht="12.75" customHeight="1">
      <c r="F462" s="96"/>
    </row>
    <row r="463" ht="12.75" customHeight="1">
      <c r="F463" s="96"/>
    </row>
    <row r="464" ht="12.75" customHeight="1">
      <c r="F464" s="96"/>
    </row>
    <row r="465" ht="12.75" customHeight="1">
      <c r="F465" s="96"/>
    </row>
    <row r="466" ht="12.75" customHeight="1">
      <c r="F466" s="96"/>
    </row>
    <row r="467" ht="12.75" customHeight="1">
      <c r="F467" s="96"/>
    </row>
    <row r="468" ht="12.75" customHeight="1">
      <c r="F468" s="96"/>
    </row>
    <row r="469" ht="12.75" customHeight="1">
      <c r="F469" s="96"/>
    </row>
    <row r="470" ht="12.75" customHeight="1">
      <c r="F470" s="96"/>
    </row>
    <row r="471" ht="12.75" customHeight="1">
      <c r="F471" s="96"/>
    </row>
    <row r="472" ht="12.75" customHeight="1">
      <c r="F472" s="96"/>
    </row>
    <row r="473" ht="12.75" customHeight="1">
      <c r="F473" s="96"/>
    </row>
    <row r="474" ht="12.75" customHeight="1">
      <c r="F474" s="96"/>
    </row>
    <row r="475" ht="12.75" customHeight="1">
      <c r="F475" s="96"/>
    </row>
    <row r="476" ht="12.75" customHeight="1">
      <c r="F476" s="96"/>
    </row>
    <row r="477" ht="12.75" customHeight="1">
      <c r="F477" s="96"/>
    </row>
    <row r="478" ht="12.75" customHeight="1">
      <c r="F478" s="96"/>
    </row>
    <row r="479" ht="12.75" customHeight="1">
      <c r="F479" s="96"/>
    </row>
    <row r="480" ht="12.75" customHeight="1">
      <c r="F480" s="96"/>
    </row>
    <row r="481" ht="12.75" customHeight="1">
      <c r="F481" s="96"/>
    </row>
    <row r="482" ht="12.75" customHeight="1">
      <c r="F482" s="96"/>
    </row>
    <row r="483" ht="12.75" customHeight="1">
      <c r="F483" s="96"/>
    </row>
    <row r="484" ht="12.75" customHeight="1">
      <c r="F484" s="96"/>
    </row>
    <row r="485" ht="12.75" customHeight="1">
      <c r="F485" s="96"/>
    </row>
    <row r="486" ht="12.75" customHeight="1">
      <c r="F486" s="96"/>
    </row>
    <row r="487" ht="12.75" customHeight="1">
      <c r="F487" s="96"/>
    </row>
    <row r="488" ht="12.75" customHeight="1">
      <c r="F488" s="96"/>
    </row>
    <row r="489" ht="12.75" customHeight="1">
      <c r="F489" s="96"/>
    </row>
    <row r="490" ht="12.75" customHeight="1">
      <c r="F490" s="96"/>
    </row>
    <row r="491" ht="12.75" customHeight="1">
      <c r="F491" s="96"/>
    </row>
    <row r="492" ht="12.75" customHeight="1">
      <c r="F492" s="96"/>
    </row>
    <row r="493" ht="12.75" customHeight="1">
      <c r="F493" s="96"/>
    </row>
    <row r="494" ht="12.75" customHeight="1">
      <c r="F494" s="96"/>
    </row>
    <row r="495" ht="12.75" customHeight="1">
      <c r="F495" s="96"/>
    </row>
    <row r="496" ht="12.75" customHeight="1">
      <c r="F496" s="96"/>
    </row>
    <row r="497" ht="12.75" customHeight="1">
      <c r="F497" s="96"/>
    </row>
    <row r="498" ht="12.75" customHeight="1">
      <c r="F498" s="96"/>
    </row>
    <row r="499" ht="12.75" customHeight="1">
      <c r="F499" s="96"/>
    </row>
    <row r="500" ht="12.75" customHeight="1">
      <c r="F500" s="96"/>
    </row>
    <row r="501" ht="12.75" customHeight="1">
      <c r="F501" s="96"/>
    </row>
    <row r="502" ht="12.75" customHeight="1">
      <c r="F502" s="96"/>
    </row>
    <row r="503" ht="12.75" customHeight="1">
      <c r="F503" s="96"/>
    </row>
    <row r="504" ht="12.75" customHeight="1">
      <c r="F504" s="96"/>
    </row>
    <row r="505" ht="12.75" customHeight="1">
      <c r="F505" s="96"/>
    </row>
    <row r="506" ht="12.75" customHeight="1">
      <c r="F506" s="96"/>
    </row>
    <row r="507" ht="12.75" customHeight="1">
      <c r="F507" s="96"/>
    </row>
    <row r="508" ht="12.75" customHeight="1">
      <c r="F508" s="96"/>
    </row>
    <row r="509" ht="12.75" customHeight="1">
      <c r="F509" s="96"/>
    </row>
    <row r="510" ht="12.75" customHeight="1">
      <c r="F510" s="96"/>
    </row>
    <row r="511" ht="12.75" customHeight="1">
      <c r="F511" s="96"/>
    </row>
    <row r="512" ht="12.75" customHeight="1">
      <c r="F512" s="96"/>
    </row>
    <row r="513" ht="12.75" customHeight="1">
      <c r="F513" s="96"/>
    </row>
    <row r="514" ht="12.75" customHeight="1">
      <c r="F514" s="96"/>
    </row>
    <row r="515" ht="12.75" customHeight="1">
      <c r="F515" s="96"/>
    </row>
    <row r="516" ht="12.75" customHeight="1">
      <c r="F516" s="96"/>
    </row>
    <row r="517" ht="12.75" customHeight="1">
      <c r="F517" s="96"/>
    </row>
    <row r="518" ht="12.75" customHeight="1">
      <c r="F518" s="96"/>
    </row>
    <row r="519" ht="12.75" customHeight="1">
      <c r="F519" s="96"/>
    </row>
    <row r="520" ht="12.75" customHeight="1">
      <c r="F520" s="96"/>
    </row>
    <row r="521" ht="12.75" customHeight="1">
      <c r="F521" s="96"/>
    </row>
    <row r="522" ht="12.75" customHeight="1">
      <c r="F522" s="96"/>
    </row>
    <row r="523" ht="12.75" customHeight="1">
      <c r="F523" s="96"/>
    </row>
    <row r="524" ht="12.75" customHeight="1">
      <c r="F524" s="96"/>
    </row>
    <row r="525" ht="12.75" customHeight="1">
      <c r="F525" s="96"/>
    </row>
    <row r="526" ht="12.75" customHeight="1">
      <c r="F526" s="96"/>
    </row>
    <row r="527" ht="12.75" customHeight="1">
      <c r="F527" s="96"/>
    </row>
    <row r="528" ht="12.75" customHeight="1">
      <c r="F528" s="96"/>
    </row>
    <row r="529" ht="12.75" customHeight="1">
      <c r="F529" s="96"/>
    </row>
    <row r="530" ht="12.75" customHeight="1">
      <c r="F530" s="96"/>
    </row>
    <row r="531" ht="12.75" customHeight="1">
      <c r="F531" s="96"/>
    </row>
    <row r="532" ht="12.75" customHeight="1">
      <c r="F532" s="96"/>
    </row>
    <row r="533" ht="12.75" customHeight="1">
      <c r="F533" s="96"/>
    </row>
    <row r="534" ht="12.75" customHeight="1">
      <c r="F534" s="96"/>
    </row>
    <row r="535" ht="12.75" customHeight="1">
      <c r="F535" s="96"/>
    </row>
    <row r="536" ht="12.75" customHeight="1">
      <c r="F536" s="96"/>
    </row>
    <row r="537" ht="12.75" customHeight="1">
      <c r="F537" s="96"/>
    </row>
    <row r="538" ht="12.75" customHeight="1">
      <c r="F538" s="96"/>
    </row>
    <row r="539" ht="12.75" customHeight="1">
      <c r="F539" s="96"/>
    </row>
    <row r="540" ht="12.75" customHeight="1">
      <c r="F540" s="96"/>
    </row>
    <row r="541" ht="12.75" customHeight="1">
      <c r="F541" s="96"/>
    </row>
    <row r="542" ht="12.75" customHeight="1">
      <c r="F542" s="96"/>
    </row>
    <row r="543" ht="12.75" customHeight="1">
      <c r="F543" s="96"/>
    </row>
    <row r="544" ht="12.75" customHeight="1">
      <c r="F544" s="96"/>
    </row>
    <row r="545" ht="12.75" customHeight="1">
      <c r="F545" s="96"/>
    </row>
    <row r="546" ht="12.75" customHeight="1">
      <c r="F546" s="96"/>
    </row>
    <row r="547" ht="12.75" customHeight="1">
      <c r="F547" s="96"/>
    </row>
    <row r="548" ht="12.75" customHeight="1">
      <c r="F548" s="96"/>
    </row>
    <row r="549" ht="12.75" customHeight="1">
      <c r="F549" s="96"/>
    </row>
    <row r="550" ht="12.75" customHeight="1">
      <c r="F550" s="96"/>
    </row>
    <row r="551" ht="12.75" customHeight="1">
      <c r="F551" s="96"/>
    </row>
    <row r="552" ht="12.75" customHeight="1">
      <c r="F552" s="96"/>
    </row>
    <row r="553" ht="12.75" customHeight="1">
      <c r="F553" s="96"/>
    </row>
    <row r="554" ht="12.75" customHeight="1">
      <c r="F554" s="96"/>
    </row>
    <row r="555" ht="12.75" customHeight="1">
      <c r="F555" s="96"/>
    </row>
    <row r="556" ht="12.75" customHeight="1">
      <c r="F556" s="96"/>
    </row>
    <row r="557" ht="12.75" customHeight="1">
      <c r="F557" s="96"/>
    </row>
    <row r="558" ht="12.75" customHeight="1">
      <c r="F558" s="96"/>
    </row>
    <row r="559" ht="12.75" customHeight="1">
      <c r="F559" s="96"/>
    </row>
    <row r="560" ht="12.75" customHeight="1">
      <c r="F560" s="96"/>
    </row>
    <row r="561" ht="12.75" customHeight="1">
      <c r="F561" s="96"/>
    </row>
    <row r="562" ht="12.75" customHeight="1">
      <c r="F562" s="96"/>
    </row>
    <row r="563" ht="12.75" customHeight="1">
      <c r="F563" s="96"/>
    </row>
    <row r="564" ht="12.75" customHeight="1">
      <c r="F564" s="96"/>
    </row>
    <row r="565" ht="12.75" customHeight="1">
      <c r="F565" s="96"/>
    </row>
    <row r="566" ht="12.75" customHeight="1">
      <c r="F566" s="96"/>
    </row>
    <row r="567" ht="12.75" customHeight="1">
      <c r="F567" s="96"/>
    </row>
    <row r="568" ht="12.75" customHeight="1">
      <c r="F568" s="96"/>
    </row>
    <row r="569" ht="12.75" customHeight="1">
      <c r="F569" s="96"/>
    </row>
    <row r="570" ht="12.75" customHeight="1">
      <c r="F570" s="96"/>
    </row>
    <row r="571" ht="12.75" customHeight="1">
      <c r="F571" s="96"/>
    </row>
    <row r="572" ht="12.75" customHeight="1">
      <c r="F572" s="96"/>
    </row>
    <row r="573" ht="12.75" customHeight="1">
      <c r="F573" s="96"/>
    </row>
    <row r="574" ht="12.75" customHeight="1">
      <c r="F574" s="96"/>
    </row>
    <row r="575" ht="12.75" customHeight="1">
      <c r="F575" s="96"/>
    </row>
    <row r="576" ht="12.75" customHeight="1">
      <c r="F576" s="96"/>
    </row>
    <row r="577" ht="12.75" customHeight="1">
      <c r="F577" s="96"/>
    </row>
    <row r="578" ht="12.75" customHeight="1">
      <c r="F578" s="96"/>
    </row>
    <row r="579" ht="12.75" customHeight="1">
      <c r="F579" s="96"/>
    </row>
    <row r="580" ht="12.75" customHeight="1">
      <c r="F580" s="96"/>
    </row>
    <row r="581" ht="12.75" customHeight="1">
      <c r="F581" s="96"/>
    </row>
    <row r="582" ht="12.75" customHeight="1">
      <c r="F582" s="96"/>
    </row>
    <row r="583" ht="12.75" customHeight="1">
      <c r="F583" s="96"/>
    </row>
    <row r="584" ht="12.75" customHeight="1">
      <c r="F584" s="96"/>
    </row>
    <row r="585" ht="12.75" customHeight="1">
      <c r="F585" s="96"/>
    </row>
    <row r="586" ht="12.75" customHeight="1">
      <c r="F586" s="96"/>
    </row>
    <row r="587" ht="12.75" customHeight="1">
      <c r="F587" s="96"/>
    </row>
    <row r="588" ht="12.75" customHeight="1">
      <c r="F588" s="96"/>
    </row>
    <row r="589" ht="12.75" customHeight="1">
      <c r="F589" s="96"/>
    </row>
    <row r="590" ht="12.75" customHeight="1">
      <c r="F590" s="96"/>
    </row>
    <row r="591" ht="12.75" customHeight="1">
      <c r="F591" s="96"/>
    </row>
    <row r="592" ht="12.75" customHeight="1">
      <c r="F592" s="96"/>
    </row>
    <row r="593" ht="12.75" customHeight="1">
      <c r="F593" s="96"/>
    </row>
    <row r="594" ht="12.75" customHeight="1">
      <c r="F594" s="96"/>
    </row>
    <row r="595" ht="12.75" customHeight="1">
      <c r="F595" s="96"/>
    </row>
    <row r="596" ht="12.75" customHeight="1">
      <c r="F596" s="96"/>
    </row>
    <row r="597" ht="12.75" customHeight="1">
      <c r="F597" s="96"/>
    </row>
    <row r="598" ht="12.75" customHeight="1">
      <c r="F598" s="96"/>
    </row>
    <row r="599" ht="12.75" customHeight="1">
      <c r="F599" s="96"/>
    </row>
    <row r="600" ht="12.75" customHeight="1">
      <c r="F600" s="96"/>
    </row>
    <row r="601" ht="12.75" customHeight="1">
      <c r="F601" s="96"/>
    </row>
    <row r="602" ht="12.75" customHeight="1">
      <c r="F602" s="96"/>
    </row>
    <row r="603" ht="12.75" customHeight="1">
      <c r="F603" s="96"/>
    </row>
    <row r="604" ht="12.75" customHeight="1">
      <c r="F604" s="96"/>
    </row>
    <row r="605" ht="12.75" customHeight="1">
      <c r="F605" s="96"/>
    </row>
    <row r="606" ht="12.75" customHeight="1">
      <c r="F606" s="96"/>
    </row>
    <row r="607" ht="12.75" customHeight="1">
      <c r="F607" s="96"/>
    </row>
    <row r="608" ht="12.75" customHeight="1">
      <c r="F608" s="96"/>
    </row>
    <row r="609" ht="12.75" customHeight="1">
      <c r="F609" s="96"/>
    </row>
    <row r="610" ht="12.75" customHeight="1">
      <c r="F610" s="96"/>
    </row>
    <row r="611" ht="12.75" customHeight="1">
      <c r="F611" s="96"/>
    </row>
    <row r="612" ht="12.75" customHeight="1">
      <c r="F612" s="96"/>
    </row>
    <row r="613" ht="12.75" customHeight="1">
      <c r="F613" s="96"/>
    </row>
    <row r="614" ht="12.75" customHeight="1">
      <c r="F614" s="96"/>
    </row>
    <row r="615" ht="12.75" customHeight="1">
      <c r="F615" s="96"/>
    </row>
    <row r="616" ht="12.75" customHeight="1">
      <c r="F616" s="96"/>
    </row>
    <row r="617" ht="12.75" customHeight="1">
      <c r="F617" s="96"/>
    </row>
    <row r="618" ht="12.75" customHeight="1">
      <c r="F618" s="96"/>
    </row>
    <row r="619" ht="12.75" customHeight="1">
      <c r="F619" s="96"/>
    </row>
    <row r="620" ht="12.75" customHeight="1">
      <c r="F620" s="96"/>
    </row>
    <row r="621" ht="12.75" customHeight="1">
      <c r="F621" s="96"/>
    </row>
    <row r="622" ht="12.75" customHeight="1">
      <c r="F622" s="96"/>
    </row>
    <row r="623" ht="12.75" customHeight="1">
      <c r="F623" s="96"/>
    </row>
    <row r="624" ht="12.75" customHeight="1">
      <c r="F624" s="96"/>
    </row>
    <row r="625" ht="12.75" customHeight="1">
      <c r="F625" s="96"/>
    </row>
    <row r="626" ht="12.75" customHeight="1">
      <c r="F626" s="96"/>
    </row>
    <row r="627" ht="12.75" customHeight="1">
      <c r="F627" s="96"/>
    </row>
    <row r="628" ht="12.75" customHeight="1">
      <c r="F628" s="96"/>
    </row>
    <row r="629" ht="12.75" customHeight="1">
      <c r="F629" s="96"/>
    </row>
    <row r="630" ht="12.75" customHeight="1">
      <c r="F630" s="96"/>
    </row>
    <row r="631" ht="12.75" customHeight="1">
      <c r="F631" s="96"/>
    </row>
    <row r="632" ht="12.75" customHeight="1">
      <c r="F632" s="96"/>
    </row>
    <row r="633" ht="12.75" customHeight="1">
      <c r="F633" s="96"/>
    </row>
    <row r="634" ht="12.75" customHeight="1">
      <c r="F634" s="96"/>
    </row>
    <row r="635" ht="12.75" customHeight="1">
      <c r="F635" s="96"/>
    </row>
    <row r="636" ht="12.75" customHeight="1">
      <c r="F636" s="96"/>
    </row>
    <row r="637" ht="12.75" customHeight="1">
      <c r="F637" s="96"/>
    </row>
    <row r="638" ht="12.75" customHeight="1">
      <c r="F638" s="96"/>
    </row>
    <row r="639" ht="12.75" customHeight="1">
      <c r="F639" s="96"/>
    </row>
    <row r="640" ht="12.75" customHeight="1">
      <c r="F640" s="96"/>
    </row>
    <row r="641" ht="12.75" customHeight="1">
      <c r="F641" s="96"/>
    </row>
    <row r="642" ht="12.75" customHeight="1">
      <c r="F642" s="96"/>
    </row>
    <row r="643" ht="12.75" customHeight="1">
      <c r="F643" s="96"/>
    </row>
    <row r="644" ht="12.75" customHeight="1">
      <c r="F644" s="96"/>
    </row>
    <row r="645" ht="12.75" customHeight="1">
      <c r="F645" s="96"/>
    </row>
    <row r="646" ht="12.75" customHeight="1">
      <c r="F646" s="96"/>
    </row>
    <row r="647" ht="12.75" customHeight="1">
      <c r="F647" s="96"/>
    </row>
    <row r="648" ht="12.75" customHeight="1">
      <c r="F648" s="96"/>
    </row>
    <row r="649" ht="12.75" customHeight="1">
      <c r="F649" s="96"/>
    </row>
    <row r="650" ht="12.75" customHeight="1">
      <c r="F650" s="96"/>
    </row>
    <row r="651" ht="12.75" customHeight="1">
      <c r="F651" s="96"/>
    </row>
    <row r="652" ht="12.75" customHeight="1">
      <c r="F652" s="96"/>
    </row>
    <row r="653" ht="12.75" customHeight="1">
      <c r="F653" s="96"/>
    </row>
    <row r="654" ht="12.75" customHeight="1">
      <c r="F654" s="96"/>
    </row>
    <row r="655" ht="12.75" customHeight="1">
      <c r="F655" s="96"/>
    </row>
    <row r="656" ht="12.75" customHeight="1">
      <c r="F656" s="96"/>
    </row>
    <row r="657" ht="12.75" customHeight="1">
      <c r="F657" s="96"/>
    </row>
    <row r="658" ht="12.75" customHeight="1">
      <c r="F658" s="96"/>
    </row>
    <row r="659" ht="12.75" customHeight="1">
      <c r="F659" s="96"/>
    </row>
    <row r="660" ht="12.75" customHeight="1">
      <c r="F660" s="96"/>
    </row>
    <row r="661" ht="12.75" customHeight="1">
      <c r="F661" s="96"/>
    </row>
    <row r="662" ht="12.75" customHeight="1">
      <c r="F662" s="96"/>
    </row>
    <row r="663" ht="12.75" customHeight="1">
      <c r="F663" s="96"/>
    </row>
    <row r="664" ht="12.75" customHeight="1">
      <c r="F664" s="96"/>
    </row>
    <row r="665" ht="12.75" customHeight="1">
      <c r="F665" s="96"/>
    </row>
    <row r="666" ht="12.75" customHeight="1">
      <c r="F666" s="96"/>
    </row>
    <row r="667" ht="12.75" customHeight="1">
      <c r="F667" s="96"/>
    </row>
    <row r="668" ht="12.75" customHeight="1">
      <c r="F668" s="96"/>
    </row>
    <row r="669" ht="12.75" customHeight="1">
      <c r="F669" s="96"/>
    </row>
    <row r="670" ht="12.75" customHeight="1">
      <c r="F670" s="96"/>
    </row>
    <row r="671" ht="12.75" customHeight="1">
      <c r="F671" s="96"/>
    </row>
    <row r="672" ht="12.75" customHeight="1">
      <c r="F672" s="96"/>
    </row>
    <row r="673" ht="12.75" customHeight="1">
      <c r="F673" s="96"/>
    </row>
    <row r="674" ht="12.75" customHeight="1">
      <c r="F674" s="96"/>
    </row>
    <row r="675" ht="12.75" customHeight="1">
      <c r="F675" s="96"/>
    </row>
    <row r="676" ht="12.75" customHeight="1">
      <c r="F676" s="96"/>
    </row>
    <row r="677" ht="12.75" customHeight="1">
      <c r="F677" s="96"/>
    </row>
    <row r="678" ht="12.75" customHeight="1">
      <c r="F678" s="96"/>
    </row>
    <row r="679" ht="12.75" customHeight="1">
      <c r="F679" s="96"/>
    </row>
    <row r="680" ht="12.75" customHeight="1">
      <c r="F680" s="96"/>
    </row>
    <row r="681" ht="12.75" customHeight="1">
      <c r="F681" s="96"/>
    </row>
    <row r="682" ht="12.75" customHeight="1">
      <c r="F682" s="96"/>
    </row>
    <row r="683" ht="12.75" customHeight="1">
      <c r="F683" s="96"/>
    </row>
    <row r="684" ht="12.75" customHeight="1">
      <c r="F684" s="96"/>
    </row>
    <row r="685" ht="12.75" customHeight="1">
      <c r="F685" s="96"/>
    </row>
    <row r="686" ht="12.75" customHeight="1">
      <c r="F686" s="96"/>
    </row>
    <row r="687" ht="12.75" customHeight="1">
      <c r="F687" s="96"/>
    </row>
    <row r="688" ht="12.75" customHeight="1">
      <c r="F688" s="96"/>
    </row>
    <row r="689" ht="12.75" customHeight="1">
      <c r="F689" s="96"/>
    </row>
    <row r="690" ht="12.75" customHeight="1">
      <c r="F690" s="96"/>
    </row>
    <row r="691" ht="12.75" customHeight="1">
      <c r="F691" s="96"/>
    </row>
    <row r="692" ht="12.75" customHeight="1">
      <c r="F692" s="96"/>
    </row>
    <row r="693" ht="12.75" customHeight="1">
      <c r="F693" s="96"/>
    </row>
    <row r="694" ht="12.75" customHeight="1">
      <c r="F694" s="96"/>
    </row>
    <row r="695" ht="12.75" customHeight="1">
      <c r="F695" s="96"/>
    </row>
    <row r="696" ht="12.75" customHeight="1">
      <c r="F696" s="96"/>
    </row>
    <row r="697" ht="12.75" customHeight="1">
      <c r="F697" s="96"/>
    </row>
    <row r="698" ht="12.75" customHeight="1">
      <c r="F698" s="96"/>
    </row>
    <row r="699" ht="12.75" customHeight="1">
      <c r="F699" s="96"/>
    </row>
    <row r="700" ht="12.75" customHeight="1">
      <c r="F700" s="96"/>
    </row>
    <row r="701" ht="12.75" customHeight="1">
      <c r="F701" s="96"/>
    </row>
    <row r="702" ht="12.75" customHeight="1">
      <c r="F702" s="96"/>
    </row>
    <row r="703" ht="12.75" customHeight="1">
      <c r="F703" s="96"/>
    </row>
    <row r="704" ht="12.75" customHeight="1">
      <c r="F704" s="96"/>
    </row>
    <row r="705" ht="12.75" customHeight="1">
      <c r="F705" s="96"/>
    </row>
    <row r="706" ht="12.75" customHeight="1">
      <c r="F706" s="96"/>
    </row>
    <row r="707" ht="12.75" customHeight="1">
      <c r="F707" s="96"/>
    </row>
    <row r="708" ht="12.75" customHeight="1">
      <c r="F708" s="96"/>
    </row>
    <row r="709" ht="12.75" customHeight="1">
      <c r="F709" s="96"/>
    </row>
    <row r="710" ht="12.75" customHeight="1">
      <c r="F710" s="96"/>
    </row>
    <row r="711" ht="12.75" customHeight="1">
      <c r="F711" s="96"/>
    </row>
    <row r="712" ht="12.75" customHeight="1">
      <c r="F712" s="96"/>
    </row>
    <row r="713" ht="12.75" customHeight="1">
      <c r="F713" s="96"/>
    </row>
    <row r="714" ht="12.75" customHeight="1">
      <c r="F714" s="96"/>
    </row>
    <row r="715" ht="12.75" customHeight="1">
      <c r="F715" s="96"/>
    </row>
    <row r="716" ht="12.75" customHeight="1">
      <c r="F716" s="96"/>
    </row>
    <row r="717" ht="12.75" customHeight="1">
      <c r="F717" s="96"/>
    </row>
    <row r="718" ht="12.75" customHeight="1">
      <c r="F718" s="96"/>
    </row>
    <row r="719" ht="12.75" customHeight="1">
      <c r="F719" s="96"/>
    </row>
    <row r="720" ht="12.75" customHeight="1">
      <c r="F720" s="96"/>
    </row>
    <row r="721" ht="12.75" customHeight="1">
      <c r="F721" s="96"/>
    </row>
    <row r="722" ht="12.75" customHeight="1">
      <c r="F722" s="96"/>
    </row>
    <row r="723" ht="12.75" customHeight="1">
      <c r="F723" s="96"/>
    </row>
    <row r="724" ht="12.75" customHeight="1">
      <c r="F724" s="96"/>
    </row>
    <row r="725" ht="12.75" customHeight="1">
      <c r="F725" s="96"/>
    </row>
    <row r="726" ht="12.75" customHeight="1">
      <c r="F726" s="96"/>
    </row>
    <row r="727" ht="12.75" customHeight="1">
      <c r="F727" s="96"/>
    </row>
    <row r="728" ht="12.75" customHeight="1">
      <c r="F728" s="96"/>
    </row>
    <row r="729" ht="12.75" customHeight="1">
      <c r="F729" s="96"/>
    </row>
    <row r="730" ht="12.75" customHeight="1">
      <c r="F730" s="96"/>
    </row>
    <row r="731" ht="12.75" customHeight="1">
      <c r="F731" s="96"/>
    </row>
    <row r="732" ht="12.75" customHeight="1">
      <c r="F732" s="96"/>
    </row>
    <row r="733" ht="12.75" customHeight="1">
      <c r="F733" s="96"/>
    </row>
    <row r="734" ht="12.75" customHeight="1">
      <c r="F734" s="96"/>
    </row>
    <row r="735" ht="12.75" customHeight="1">
      <c r="F735" s="96"/>
    </row>
    <row r="736" ht="12.75" customHeight="1">
      <c r="F736" s="96"/>
    </row>
    <row r="737" ht="12.75" customHeight="1">
      <c r="F737" s="96"/>
    </row>
    <row r="738" ht="12.75" customHeight="1">
      <c r="F738" s="96"/>
    </row>
    <row r="739" ht="12.75" customHeight="1">
      <c r="F739" s="96"/>
    </row>
    <row r="740" ht="12.75" customHeight="1">
      <c r="F740" s="96"/>
    </row>
    <row r="741" ht="12.75" customHeight="1">
      <c r="F741" s="96"/>
    </row>
    <row r="742" ht="12.75" customHeight="1">
      <c r="F742" s="96"/>
    </row>
    <row r="743" ht="12.75" customHeight="1">
      <c r="F743" s="96"/>
    </row>
    <row r="744" ht="12.75" customHeight="1">
      <c r="F744" s="96"/>
    </row>
    <row r="745" ht="12.75" customHeight="1">
      <c r="F745" s="96"/>
    </row>
    <row r="746" ht="12.75" customHeight="1">
      <c r="F746" s="96"/>
    </row>
    <row r="747" ht="12.75" customHeight="1">
      <c r="F747" s="96"/>
    </row>
    <row r="748" ht="12.75" customHeight="1">
      <c r="F748" s="96"/>
    </row>
    <row r="749" ht="12.75" customHeight="1">
      <c r="F749" s="96"/>
    </row>
    <row r="750" ht="12.75" customHeight="1">
      <c r="F750" s="96"/>
    </row>
    <row r="751" ht="12.75" customHeight="1">
      <c r="F751" s="96"/>
    </row>
    <row r="752" ht="12.75" customHeight="1">
      <c r="F752" s="96"/>
    </row>
    <row r="753" ht="12.75" customHeight="1">
      <c r="F753" s="96"/>
    </row>
    <row r="754" ht="12.75" customHeight="1">
      <c r="F754" s="96"/>
    </row>
    <row r="755" ht="12.75" customHeight="1">
      <c r="F755" s="96"/>
    </row>
    <row r="756" ht="12.75" customHeight="1">
      <c r="F756" s="96"/>
    </row>
    <row r="757" ht="12.75" customHeight="1">
      <c r="F757" s="96"/>
    </row>
    <row r="758" ht="12.75" customHeight="1">
      <c r="F758" s="96"/>
    </row>
    <row r="759" ht="12.75" customHeight="1">
      <c r="F759" s="96"/>
    </row>
    <row r="760" ht="12.75" customHeight="1">
      <c r="F760" s="96"/>
    </row>
    <row r="761" ht="12.75" customHeight="1">
      <c r="F761" s="96"/>
    </row>
    <row r="762" ht="12.75" customHeight="1">
      <c r="F762" s="96"/>
    </row>
    <row r="763" ht="12.75" customHeight="1">
      <c r="F763" s="96"/>
    </row>
    <row r="764" ht="12.75" customHeight="1">
      <c r="F764" s="96"/>
    </row>
    <row r="765" ht="12.75" customHeight="1">
      <c r="F765" s="96"/>
    </row>
    <row r="766" ht="12.75" customHeight="1">
      <c r="F766" s="96"/>
    </row>
    <row r="767" ht="12.75" customHeight="1">
      <c r="F767" s="96"/>
    </row>
    <row r="768" ht="12.75" customHeight="1">
      <c r="F768" s="96"/>
    </row>
    <row r="769" ht="12.75" customHeight="1">
      <c r="F769" s="96"/>
    </row>
    <row r="770" ht="12.75" customHeight="1">
      <c r="F770" s="96"/>
    </row>
    <row r="771" ht="12.75" customHeight="1">
      <c r="F771" s="96"/>
    </row>
    <row r="772" ht="12.75" customHeight="1">
      <c r="F772" s="96"/>
    </row>
    <row r="773" ht="12.75" customHeight="1">
      <c r="F773" s="96"/>
    </row>
    <row r="774" ht="12.75" customHeight="1">
      <c r="F774" s="96"/>
    </row>
    <row r="775" ht="12.75" customHeight="1">
      <c r="F775" s="96"/>
    </row>
    <row r="776" ht="12.75" customHeight="1">
      <c r="F776" s="96"/>
    </row>
    <row r="777" ht="12.75" customHeight="1">
      <c r="F777" s="96"/>
    </row>
    <row r="778" ht="12.75" customHeight="1">
      <c r="F778" s="96"/>
    </row>
    <row r="779" ht="12.75" customHeight="1">
      <c r="F779" s="96"/>
    </row>
    <row r="780" ht="12.75" customHeight="1">
      <c r="F780" s="96"/>
    </row>
    <row r="781" ht="12.75" customHeight="1">
      <c r="F781" s="96"/>
    </row>
    <row r="782" ht="12.75" customHeight="1">
      <c r="F782" s="96"/>
    </row>
    <row r="783" ht="12.75" customHeight="1">
      <c r="F783" s="96"/>
    </row>
    <row r="784" ht="12.75" customHeight="1">
      <c r="F784" s="96"/>
    </row>
    <row r="785" ht="12.75" customHeight="1">
      <c r="F785" s="96"/>
    </row>
    <row r="786" ht="12.75" customHeight="1">
      <c r="F786" s="96"/>
    </row>
    <row r="787" ht="12.75" customHeight="1">
      <c r="F787" s="96"/>
    </row>
    <row r="788" ht="12.75" customHeight="1">
      <c r="F788" s="96"/>
    </row>
    <row r="789" ht="12.75" customHeight="1">
      <c r="F789" s="96"/>
    </row>
    <row r="790" ht="12.75" customHeight="1">
      <c r="F790" s="96"/>
    </row>
    <row r="791" ht="12.75" customHeight="1">
      <c r="F791" s="96"/>
    </row>
    <row r="792" ht="12.75" customHeight="1">
      <c r="F792" s="96"/>
    </row>
    <row r="793" ht="12.75" customHeight="1">
      <c r="F793" s="96"/>
    </row>
    <row r="794" ht="12.75" customHeight="1">
      <c r="F794" s="96"/>
    </row>
    <row r="795" ht="12.75" customHeight="1">
      <c r="F795" s="96"/>
    </row>
    <row r="796" ht="12.75" customHeight="1">
      <c r="F796" s="96"/>
    </row>
    <row r="797" ht="12.75" customHeight="1">
      <c r="F797" s="96"/>
    </row>
    <row r="798" ht="12.75" customHeight="1">
      <c r="F798" s="96"/>
    </row>
    <row r="799" ht="12.75" customHeight="1">
      <c r="F799" s="96"/>
    </row>
    <row r="800" ht="12.75" customHeight="1">
      <c r="F800" s="96"/>
    </row>
    <row r="801" ht="12.75" customHeight="1">
      <c r="F801" s="96"/>
    </row>
    <row r="802" ht="12.75" customHeight="1">
      <c r="F802" s="96"/>
    </row>
    <row r="803" ht="12.75" customHeight="1">
      <c r="F803" s="96"/>
    </row>
    <row r="804" ht="12.75" customHeight="1">
      <c r="F804" s="96"/>
    </row>
    <row r="805" ht="12.75" customHeight="1">
      <c r="F805" s="96"/>
    </row>
    <row r="806" ht="12.75" customHeight="1">
      <c r="F806" s="96"/>
    </row>
    <row r="807" ht="12.75" customHeight="1">
      <c r="F807" s="96"/>
    </row>
    <row r="808" ht="12.75" customHeight="1">
      <c r="F808" s="96"/>
    </row>
    <row r="809" ht="12.75" customHeight="1">
      <c r="F809" s="96"/>
    </row>
    <row r="810" ht="12.75" customHeight="1">
      <c r="F810" s="96"/>
    </row>
    <row r="811" ht="12.75" customHeight="1">
      <c r="F811" s="96"/>
    </row>
    <row r="812" ht="12.75" customHeight="1">
      <c r="F812" s="96"/>
    </row>
    <row r="813" ht="12.75" customHeight="1">
      <c r="F813" s="96"/>
    </row>
    <row r="814" ht="12.75" customHeight="1">
      <c r="F814" s="96"/>
    </row>
    <row r="815" ht="12.75" customHeight="1">
      <c r="F815" s="96"/>
    </row>
    <row r="816" ht="12.75" customHeight="1">
      <c r="F816" s="96"/>
    </row>
    <row r="817" ht="12.75" customHeight="1">
      <c r="F817" s="96"/>
    </row>
    <row r="818" ht="12.75" customHeight="1">
      <c r="F818" s="96"/>
    </row>
    <row r="819" ht="12.75" customHeight="1">
      <c r="F819" s="96"/>
    </row>
    <row r="820" ht="12.75" customHeight="1">
      <c r="F820" s="96"/>
    </row>
    <row r="821" ht="12.75" customHeight="1">
      <c r="F821" s="96"/>
    </row>
    <row r="822" ht="12.75" customHeight="1">
      <c r="F822" s="96"/>
    </row>
    <row r="823" ht="12.75" customHeight="1">
      <c r="F823" s="96"/>
    </row>
    <row r="824" ht="12.75" customHeight="1">
      <c r="F824" s="96"/>
    </row>
    <row r="825" ht="12.75" customHeight="1">
      <c r="F825" s="96"/>
    </row>
    <row r="826" ht="12.75" customHeight="1">
      <c r="F826" s="96"/>
    </row>
    <row r="827" ht="12.75" customHeight="1">
      <c r="F827" s="96"/>
    </row>
    <row r="828" ht="12.75" customHeight="1">
      <c r="F828" s="96"/>
    </row>
    <row r="829" ht="12.75" customHeight="1">
      <c r="F829" s="96"/>
    </row>
    <row r="830" ht="12.75" customHeight="1">
      <c r="F830" s="96"/>
    </row>
    <row r="831" ht="12.75" customHeight="1">
      <c r="F831" s="96"/>
    </row>
    <row r="832" ht="12.75" customHeight="1">
      <c r="F832" s="96"/>
    </row>
    <row r="833" ht="12.75" customHeight="1">
      <c r="F833" s="96"/>
    </row>
    <row r="834" ht="12.75" customHeight="1">
      <c r="F834" s="96"/>
    </row>
    <row r="835" ht="12.75" customHeight="1">
      <c r="F835" s="96"/>
    </row>
    <row r="836" ht="12.75" customHeight="1">
      <c r="F836" s="96"/>
    </row>
    <row r="837" ht="12.75" customHeight="1">
      <c r="F837" s="96"/>
    </row>
    <row r="838" ht="12.75" customHeight="1">
      <c r="F838" s="96"/>
    </row>
    <row r="839" ht="12.75" customHeight="1">
      <c r="F839" s="96"/>
    </row>
    <row r="840" ht="12.75" customHeight="1">
      <c r="F840" s="96"/>
    </row>
    <row r="841" ht="12.75" customHeight="1">
      <c r="F841" s="96"/>
    </row>
    <row r="842" ht="12.75" customHeight="1">
      <c r="F842" s="96"/>
    </row>
    <row r="843" ht="12.75" customHeight="1">
      <c r="F843" s="96"/>
    </row>
    <row r="844" ht="12.75" customHeight="1">
      <c r="F844" s="96"/>
    </row>
    <row r="845" ht="12.75" customHeight="1">
      <c r="F845" s="96"/>
    </row>
    <row r="846" ht="12.75" customHeight="1">
      <c r="F846" s="96"/>
    </row>
    <row r="847" ht="12.75" customHeight="1">
      <c r="F847" s="96"/>
    </row>
    <row r="848" ht="12.75" customHeight="1">
      <c r="F848" s="96"/>
    </row>
    <row r="849" ht="12.75" customHeight="1">
      <c r="F849" s="96"/>
    </row>
    <row r="850" ht="12.75" customHeight="1">
      <c r="F850" s="96"/>
    </row>
    <row r="851" ht="12.75" customHeight="1">
      <c r="F851" s="96"/>
    </row>
    <row r="852" ht="12.75" customHeight="1">
      <c r="F852" s="96"/>
    </row>
    <row r="853" ht="12.75" customHeight="1">
      <c r="F853" s="96"/>
    </row>
    <row r="854" ht="12.75" customHeight="1">
      <c r="F854" s="96"/>
    </row>
    <row r="855" ht="12.75" customHeight="1">
      <c r="F855" s="96"/>
    </row>
    <row r="856" ht="12.75" customHeight="1">
      <c r="F856" s="96"/>
    </row>
    <row r="857" ht="12.75" customHeight="1">
      <c r="F857" s="96"/>
    </row>
    <row r="858" ht="12.75" customHeight="1">
      <c r="F858" s="96"/>
    </row>
    <row r="859" ht="12.75" customHeight="1">
      <c r="F859" s="96"/>
    </row>
    <row r="860" ht="12.75" customHeight="1">
      <c r="F860" s="96"/>
    </row>
    <row r="861" ht="12.75" customHeight="1">
      <c r="F861" s="96"/>
    </row>
    <row r="862" ht="12.75" customHeight="1">
      <c r="F862" s="96"/>
    </row>
    <row r="863" ht="12.75" customHeight="1">
      <c r="F863" s="96"/>
    </row>
    <row r="864" ht="12.75" customHeight="1">
      <c r="F864" s="96"/>
    </row>
    <row r="865" ht="12.75" customHeight="1">
      <c r="F865" s="96"/>
    </row>
    <row r="866" ht="12.75" customHeight="1">
      <c r="F866" s="96"/>
    </row>
    <row r="867" ht="12.75" customHeight="1">
      <c r="F867" s="96"/>
    </row>
    <row r="868" ht="12.75" customHeight="1">
      <c r="F868" s="96"/>
    </row>
    <row r="869" ht="12.75" customHeight="1">
      <c r="F869" s="96"/>
    </row>
    <row r="870" ht="12.75" customHeight="1">
      <c r="F870" s="96"/>
    </row>
    <row r="871" ht="12.75" customHeight="1">
      <c r="F871" s="96"/>
    </row>
    <row r="872" ht="12.75" customHeight="1">
      <c r="F872" s="96"/>
    </row>
    <row r="873" ht="12.75" customHeight="1">
      <c r="F873" s="96"/>
    </row>
    <row r="874" ht="12.75" customHeight="1">
      <c r="F874" s="96"/>
    </row>
    <row r="875" ht="12.75" customHeight="1">
      <c r="F875" s="96"/>
    </row>
    <row r="876" ht="12.75" customHeight="1">
      <c r="F876" s="96"/>
    </row>
    <row r="877" ht="12.75" customHeight="1">
      <c r="F877" s="96"/>
    </row>
    <row r="878" ht="12.75" customHeight="1">
      <c r="F878" s="96"/>
    </row>
    <row r="879" ht="12.75" customHeight="1">
      <c r="F879" s="96"/>
    </row>
    <row r="880" ht="12.75" customHeight="1">
      <c r="F880" s="96"/>
    </row>
    <row r="881" ht="12.75" customHeight="1">
      <c r="F881" s="96"/>
    </row>
    <row r="882" ht="12.75" customHeight="1">
      <c r="F882" s="96"/>
    </row>
    <row r="883" ht="12.75" customHeight="1">
      <c r="F883" s="96"/>
    </row>
    <row r="884" ht="12.75" customHeight="1">
      <c r="F884" s="96"/>
    </row>
    <row r="885" ht="12.75" customHeight="1">
      <c r="F885" s="96"/>
    </row>
    <row r="886" ht="12.75" customHeight="1">
      <c r="F886" s="96"/>
    </row>
    <row r="887" ht="12.75" customHeight="1">
      <c r="F887" s="96"/>
    </row>
    <row r="888" ht="12.75" customHeight="1">
      <c r="F888" s="96"/>
    </row>
    <row r="889" ht="12.75" customHeight="1">
      <c r="F889" s="96"/>
    </row>
    <row r="890" ht="12.75" customHeight="1">
      <c r="F890" s="96"/>
    </row>
    <row r="891" ht="12.75" customHeight="1">
      <c r="F891" s="96"/>
    </row>
    <row r="892" ht="12.75" customHeight="1">
      <c r="F892" s="96"/>
    </row>
    <row r="893" ht="12.75" customHeight="1">
      <c r="F893" s="96"/>
    </row>
    <row r="894" ht="12.75" customHeight="1">
      <c r="F894" s="96"/>
    </row>
    <row r="895" ht="12.75" customHeight="1">
      <c r="F895" s="96"/>
    </row>
    <row r="896" ht="12.75" customHeight="1">
      <c r="F896" s="96"/>
    </row>
    <row r="897" ht="12.75" customHeight="1">
      <c r="F897" s="96"/>
    </row>
    <row r="898" ht="12.75" customHeight="1">
      <c r="F898" s="96"/>
    </row>
    <row r="899" ht="12.75" customHeight="1">
      <c r="F899" s="96"/>
    </row>
    <row r="900" ht="12.75" customHeight="1">
      <c r="F900" s="96"/>
    </row>
    <row r="901" ht="12.75" customHeight="1">
      <c r="F901" s="96"/>
    </row>
    <row r="902" ht="12.75" customHeight="1">
      <c r="F902" s="96"/>
    </row>
    <row r="903" ht="12.75" customHeight="1">
      <c r="F903" s="96"/>
    </row>
    <row r="904" ht="12.75" customHeight="1">
      <c r="F904" s="96"/>
    </row>
    <row r="905" ht="12.75" customHeight="1">
      <c r="F905" s="96"/>
    </row>
    <row r="906" ht="12.75" customHeight="1">
      <c r="F906" s="96"/>
    </row>
    <row r="907" ht="12.75" customHeight="1">
      <c r="F907" s="96"/>
    </row>
    <row r="908" ht="12.75" customHeight="1">
      <c r="F908" s="96"/>
    </row>
    <row r="909" ht="12.75" customHeight="1">
      <c r="F909" s="96"/>
    </row>
    <row r="910" ht="12.75" customHeight="1">
      <c r="F910" s="96"/>
    </row>
    <row r="911" ht="12.75" customHeight="1">
      <c r="F911" s="96"/>
    </row>
    <row r="912" ht="12.75" customHeight="1">
      <c r="F912" s="96"/>
    </row>
    <row r="913" ht="12.75" customHeight="1">
      <c r="F913" s="96"/>
    </row>
    <row r="914" ht="12.75" customHeight="1">
      <c r="F914" s="96"/>
    </row>
    <row r="915" ht="12.75" customHeight="1">
      <c r="F915" s="96"/>
    </row>
    <row r="916" ht="12.75" customHeight="1">
      <c r="F916" s="96"/>
    </row>
    <row r="917" ht="12.75" customHeight="1">
      <c r="F917" s="96"/>
    </row>
    <row r="918" ht="12.75" customHeight="1">
      <c r="F918" s="96"/>
    </row>
    <row r="919" ht="12.75" customHeight="1">
      <c r="F919" s="96"/>
    </row>
    <row r="920" ht="12.75" customHeight="1">
      <c r="F920" s="96"/>
    </row>
    <row r="921" ht="12.75" customHeight="1">
      <c r="F921" s="96"/>
    </row>
    <row r="922" ht="12.75" customHeight="1">
      <c r="F922" s="96"/>
    </row>
    <row r="923" ht="12.75" customHeight="1">
      <c r="F923" s="96"/>
    </row>
    <row r="924" ht="12.75" customHeight="1">
      <c r="F924" s="96"/>
    </row>
    <row r="925" ht="12.75" customHeight="1">
      <c r="F925" s="96"/>
    </row>
    <row r="926" ht="12.75" customHeight="1">
      <c r="F926" s="96"/>
    </row>
    <row r="927" ht="12.75" customHeight="1">
      <c r="F927" s="96"/>
    </row>
    <row r="928" ht="12.75" customHeight="1">
      <c r="F928" s="96"/>
    </row>
    <row r="929" ht="12.75" customHeight="1">
      <c r="F929" s="96"/>
    </row>
    <row r="930" ht="12.75" customHeight="1">
      <c r="F930" s="96"/>
    </row>
    <row r="931" ht="12.75" customHeight="1">
      <c r="F931" s="96"/>
    </row>
    <row r="932" ht="12.75" customHeight="1">
      <c r="F932" s="96"/>
    </row>
    <row r="933" ht="12.75" customHeight="1">
      <c r="F933" s="96"/>
    </row>
    <row r="934" ht="12.75" customHeight="1">
      <c r="F934" s="96"/>
    </row>
    <row r="935" ht="12.75" customHeight="1">
      <c r="F935" s="96"/>
    </row>
    <row r="936" ht="12.75" customHeight="1">
      <c r="F936" s="96"/>
    </row>
    <row r="937" ht="12.75" customHeight="1">
      <c r="F937" s="96"/>
    </row>
    <row r="938" ht="12.75" customHeight="1">
      <c r="F938" s="96"/>
    </row>
    <row r="939" ht="12.75" customHeight="1">
      <c r="F939" s="96"/>
    </row>
    <row r="940" ht="12.75" customHeight="1">
      <c r="F940" s="96"/>
    </row>
    <row r="941" ht="12.75" customHeight="1">
      <c r="F941" s="96"/>
    </row>
    <row r="942" ht="12.75" customHeight="1">
      <c r="F942" s="96"/>
    </row>
    <row r="943" ht="12.75" customHeight="1">
      <c r="F943" s="96"/>
    </row>
    <row r="944" ht="12.75" customHeight="1">
      <c r="F944" s="96"/>
    </row>
    <row r="945" ht="12.75" customHeight="1">
      <c r="F945" s="96"/>
    </row>
    <row r="946" ht="12.75" customHeight="1">
      <c r="F946" s="96"/>
    </row>
    <row r="947" ht="12.75" customHeight="1">
      <c r="F947" s="96"/>
    </row>
    <row r="948" ht="12.75" customHeight="1">
      <c r="F948" s="96"/>
    </row>
    <row r="949" ht="12.75" customHeight="1">
      <c r="F949" s="96"/>
    </row>
    <row r="950" ht="12.75" customHeight="1">
      <c r="F950" s="96"/>
    </row>
    <row r="951" ht="12.75" customHeight="1">
      <c r="F951" s="96"/>
    </row>
    <row r="952" ht="12.75" customHeight="1">
      <c r="F952" s="96"/>
    </row>
    <row r="953" ht="12.75" customHeight="1">
      <c r="F953" s="96"/>
    </row>
    <row r="954" ht="12.75" customHeight="1">
      <c r="F954" s="96"/>
    </row>
    <row r="955" ht="12.75" customHeight="1">
      <c r="F955" s="96"/>
    </row>
    <row r="956" ht="12.75" customHeight="1">
      <c r="F956" s="96"/>
    </row>
    <row r="957" ht="12.75" customHeight="1">
      <c r="F957" s="96"/>
    </row>
    <row r="958" ht="12.75" customHeight="1">
      <c r="F958" s="96"/>
    </row>
    <row r="959" ht="12.75" customHeight="1">
      <c r="F959" s="96"/>
    </row>
    <row r="960" ht="12.75" customHeight="1">
      <c r="F960" s="96"/>
    </row>
    <row r="961" ht="12.75" customHeight="1">
      <c r="F961" s="96"/>
    </row>
    <row r="962" ht="12.75" customHeight="1">
      <c r="F962" s="96"/>
    </row>
    <row r="963" ht="12.75" customHeight="1">
      <c r="F963" s="96"/>
    </row>
    <row r="964" ht="12.75" customHeight="1">
      <c r="F964" s="96"/>
    </row>
    <row r="965" ht="12.75" customHeight="1">
      <c r="F965" s="96"/>
    </row>
    <row r="966" ht="12.75" customHeight="1">
      <c r="F966" s="96"/>
    </row>
    <row r="967" ht="12.75" customHeight="1">
      <c r="F967" s="96"/>
    </row>
    <row r="968" ht="12.75" customHeight="1">
      <c r="F968" s="96"/>
    </row>
    <row r="969" ht="12.75" customHeight="1">
      <c r="F969" s="96"/>
    </row>
    <row r="970" ht="12.75" customHeight="1">
      <c r="F970" s="96"/>
    </row>
    <row r="971" ht="12.75" customHeight="1">
      <c r="F971" s="96"/>
    </row>
    <row r="972" ht="12.75" customHeight="1">
      <c r="F972" s="96"/>
    </row>
    <row r="973" ht="12.75" customHeight="1">
      <c r="F973" s="96"/>
    </row>
    <row r="974" ht="12.75" customHeight="1">
      <c r="F974" s="96"/>
    </row>
    <row r="975" ht="12.75" customHeight="1">
      <c r="F975" s="96"/>
    </row>
    <row r="976" ht="12.75" customHeight="1">
      <c r="F976" s="96"/>
    </row>
    <row r="977" ht="12.75" customHeight="1">
      <c r="F977" s="96"/>
    </row>
    <row r="978" ht="12.75" customHeight="1">
      <c r="F978" s="96"/>
    </row>
    <row r="979" ht="12.75" customHeight="1">
      <c r="F979" s="96"/>
    </row>
    <row r="980" ht="12.75" customHeight="1">
      <c r="F980" s="96"/>
    </row>
    <row r="981" ht="12.75" customHeight="1">
      <c r="F981" s="96"/>
    </row>
    <row r="982" ht="12.75" customHeight="1">
      <c r="F982" s="96"/>
    </row>
    <row r="983" ht="12.75" customHeight="1">
      <c r="F983" s="96"/>
    </row>
    <row r="984" ht="12.75" customHeight="1">
      <c r="F984" s="96"/>
    </row>
    <row r="985" ht="12.75" customHeight="1">
      <c r="F985" s="96"/>
    </row>
    <row r="986" ht="12.75" customHeight="1">
      <c r="F986" s="96"/>
    </row>
    <row r="987" ht="12.75" customHeight="1">
      <c r="F987" s="96"/>
    </row>
    <row r="988" ht="12.75" customHeight="1">
      <c r="F988" s="96"/>
    </row>
    <row r="989" ht="12.75" customHeight="1">
      <c r="F989" s="96"/>
    </row>
    <row r="990" ht="12.75" customHeight="1">
      <c r="F990" s="96"/>
    </row>
    <row r="991" ht="12.75" customHeight="1">
      <c r="F991" s="96"/>
    </row>
    <row r="992" ht="12.75" customHeight="1">
      <c r="F992" s="96"/>
    </row>
    <row r="993" ht="12.75" customHeight="1">
      <c r="F993" s="96"/>
    </row>
    <row r="994" ht="12.75" customHeight="1">
      <c r="F994" s="96"/>
    </row>
    <row r="995" ht="12.75" customHeight="1">
      <c r="F995" s="96"/>
    </row>
    <row r="996" ht="12.75" customHeight="1">
      <c r="F996" s="96"/>
    </row>
    <row r="997" ht="12.75" customHeight="1">
      <c r="F997" s="96"/>
    </row>
    <row r="998" ht="12.75" customHeight="1">
      <c r="F998" s="96"/>
    </row>
    <row r="999" ht="12.75" customHeight="1">
      <c r="F999" s="96"/>
    </row>
    <row r="1000" ht="12.75" customHeight="1">
      <c r="F1000" s="9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26" width="12.63"/>
  </cols>
  <sheetData>
    <row r="1" ht="15.75" customHeight="1">
      <c r="B1" s="106"/>
      <c r="C1" s="106"/>
      <c r="D1" s="106"/>
      <c r="E1" s="106"/>
    </row>
    <row r="2" ht="16.5" customHeight="1">
      <c r="A2" s="129" t="s">
        <v>24</v>
      </c>
      <c r="B2" s="106"/>
      <c r="C2" s="106"/>
      <c r="D2" s="106"/>
      <c r="E2" s="106"/>
    </row>
    <row r="3" ht="16.5" customHeight="1">
      <c r="A3" s="129" t="s">
        <v>573</v>
      </c>
    </row>
    <row r="4" ht="16.5" customHeight="1">
      <c r="A4" s="129" t="s">
        <v>682</v>
      </c>
    </row>
    <row r="5" ht="16.5" customHeight="1">
      <c r="A5" s="129" t="s">
        <v>800</v>
      </c>
    </row>
    <row r="6" ht="16.5" customHeight="1">
      <c r="A6" s="129" t="s">
        <v>903</v>
      </c>
    </row>
    <row r="7" ht="16.5" customHeight="1">
      <c r="A7" s="129" t="s">
        <v>989</v>
      </c>
    </row>
    <row r="8" ht="16.5" customHeight="1">
      <c r="A8" s="129" t="s">
        <v>1081</v>
      </c>
    </row>
    <row r="9" ht="16.5" customHeight="1">
      <c r="A9" s="129" t="s">
        <v>1135</v>
      </c>
    </row>
    <row r="10" ht="16.5" customHeight="1">
      <c r="A10" s="129" t="s">
        <v>401</v>
      </c>
    </row>
    <row r="11" ht="16.5" customHeight="1">
      <c r="A11" s="129" t="s">
        <v>1320</v>
      </c>
    </row>
    <row r="12" ht="16.5" customHeight="1">
      <c r="A12" s="129" t="s">
        <v>1397</v>
      </c>
    </row>
    <row r="13" ht="16.5" customHeight="1">
      <c r="A13" s="129" t="s">
        <v>1457</v>
      </c>
    </row>
    <row r="14" ht="16.5" customHeight="1">
      <c r="A14" s="129" t="s">
        <v>1505</v>
      </c>
    </row>
    <row r="15" ht="16.5" customHeight="1">
      <c r="A15" s="129" t="s">
        <v>1572</v>
      </c>
    </row>
    <row r="16" ht="15.75" customHeight="1">
      <c r="A16" s="130" t="s">
        <v>36</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2:A16">
      <formula1>'角色卡'!$A$17:$A$36</formula1>
    </dataValidation>
  </dataValidations>
  <drawing r:id="rId1"/>
</worksheet>
</file>